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fira\SAFIRA_PCS\2018\LKPBU\LTDBB\"/>
    </mc:Choice>
  </mc:AlternateContent>
  <bookViews>
    <workbookView xWindow="-110" yWindow="-110" windowWidth="23260" windowHeight="12720" activeTab="3"/>
  </bookViews>
  <sheets>
    <sheet name="LTDBB Header" sheetId="36" r:id="rId1"/>
    <sheet name="G0001" sheetId="9" r:id="rId2"/>
    <sheet name="G0002" sheetId="10" r:id="rId3"/>
    <sheet name="G0003" sheetId="12" r:id="rId4"/>
    <sheet name="Sheet3" sheetId="3" state="hidden" r:id="rId5"/>
  </sheets>
  <functionGroups builtInGroupCount="18"/>
  <externalReferences>
    <externalReference r:id="rId6"/>
  </externalReferences>
  <definedNames>
    <definedName name="_xlnm._FilterDatabase" localSheetId="1" hidden="1">'G0001'!$A$6:$M$6</definedName>
    <definedName name="_xlnm._FilterDatabase" localSheetId="2" hidden="1">'G0002'!$A$6:$M$6</definedName>
    <definedName name="_xlnm._FilterDatabase" localSheetId="3" hidden="1">'G0003'!$A$6:$I$6</definedName>
    <definedName name="_xlnm._FilterDatabase" localSheetId="4" hidden="1">Sheet3!$AA$1:$AB$525</definedName>
    <definedName name="a">Sheet3!$AA$2:$AA$11</definedName>
    <definedName name="AKUN">Sheet3!$D$2:$D$23</definedName>
    <definedName name="AKUNLR">Sheet3!$I$3:$I$25</definedName>
    <definedName name="ASET">Sheet3!$C$2:$C$12</definedName>
    <definedName name="BDN">Sheet3!$BQ$2:$BQ$185</definedName>
    <definedName name="BLN">Sheet3!$O$26:$O$37</definedName>
    <definedName name="COUNTRY">Sheet3!$Q$2:$Q$247</definedName>
    <definedName name="CP">Sheet3!$BW$2:$BW$5</definedName>
    <definedName name="dati2">'G0001'!#REF!</definedName>
    <definedName name="DER">Sheet3!$U$31:$U$35</definedName>
    <definedName name="EKUITAS">Sheet3!$N$2:$N$10</definedName>
    <definedName name="GP">Sheet3!$AE$24:$AE$38</definedName>
    <definedName name="HIBAH">Sheet3!$BT$2:$BT$323</definedName>
    <definedName name="HK">Sheet3!$C$37:$C$42</definedName>
    <definedName name="JENDEV">Sheet3!$C$80:$C$83</definedName>
    <definedName name="jenis_trans">Sheet3!$U$14:$U$17</definedName>
    <definedName name="JENISSB">Sheet3!$AE$64:$AE$82</definedName>
    <definedName name="JENPENY">Sheet3!$I$42:$I$44</definedName>
    <definedName name="JENPIU">Sheet3!$I$34:$I$37</definedName>
    <definedName name="JENPRO">Sheet3!$I$29:$I$30</definedName>
    <definedName name="JENSEK">Sheet3!$D$76:$D$80</definedName>
    <definedName name="jentag">Sheet3!$I$74:$I$103</definedName>
    <definedName name="jentan">Sheet3!$C$76:$C$77</definedName>
    <definedName name="JFP">Sheet3!$AE$18:$AE$20</definedName>
    <definedName name="JFT">Sheet3!$AE$15:$AE$16</definedName>
    <definedName name="JFTA">Sheet3!$U$21:$U$22</definedName>
    <definedName name="JFTE">Sheet3!$U$25:$U$27</definedName>
    <definedName name="JFTP">Sheet3!$AE$18:$AE$20</definedName>
    <definedName name="JK">Sheet3!$C$55:$C$58</definedName>
    <definedName name="JP">Sheet3!$N$17:$N$20</definedName>
    <definedName name="JPA">Sheet3!$C$62:$C$66</definedName>
    <definedName name="JSB">Sheet3!$AE$41:$AE$61</definedName>
    <definedName name="JT">Sheet3!$I$64:$I$67</definedName>
    <definedName name="JTPVA">Sheet3!$F$61:$F$63</definedName>
    <definedName name="JW">Sheet3!$I$70:$I$72</definedName>
    <definedName name="Kabupaten">Sheet3!$AA$2:$AA$526</definedName>
    <definedName name="KOTA">Sheet3!$AA$2:$AA$526</definedName>
    <definedName name="Kota_Kabupaten_Asal_Pengiriman" localSheetId="1">Sheet3!$AA$2:$AA$526</definedName>
    <definedName name="KURS">Sheet3!$A$2:$A$172</definedName>
    <definedName name="Negara">[1]Sheet2!$A$1:$A$193</definedName>
    <definedName name="PERCENT">Sheet3!$AE$2:$AE$3</definedName>
    <definedName name="PROPINSI">Sheet3!$X$2:$X$32</definedName>
    <definedName name="SB">Sheet3!$AE$5:$AE$12</definedName>
    <definedName name="SBJEN">Sheet3!$W$37:$W$57</definedName>
    <definedName name="SBSB">Sheet3!$C$87:$C$105</definedName>
    <definedName name="SI">Sheet3!$C$45:$C$52</definedName>
    <definedName name="SJSB">Sheet3!$AE$41:$AE$61</definedName>
    <definedName name="SJTAS">Sheet3!$BB$2:$BB$31</definedName>
    <definedName name="SJTASET">Sheet3!$AJ$2:$AJ$85</definedName>
    <definedName name="SJTDER">Sheet3!$BE$2:$BE$49</definedName>
    <definedName name="SJTE">Sheet3!$AS$2:$AS$17</definedName>
    <definedName name="SJTEQ">Sheet3!$BN$2:$BN$14</definedName>
    <definedName name="SJTL">Sheet3!$AY$2:$AY$13</definedName>
    <definedName name="SJTOCA">Sheet3!$AM$2:$AM$625</definedName>
    <definedName name="SJTP">Sheet3!$AP$2:$AP$52</definedName>
    <definedName name="SJTPRE">Sheet3!$AZ$2:$AZ$13</definedName>
    <definedName name="SJTSB">Sheet3!$BH$2:$BH$134</definedName>
    <definedName name="SJTSEK">Sheet3!$AV$2:$AV$31</definedName>
    <definedName name="SJTTB">Sheet3!$BK$2:$BK$13</definedName>
    <definedName name="SK">Sheet3!$C$26:$C$34</definedName>
    <definedName name="test">'G0001'!#REF!</definedName>
    <definedName name="TGL">Sheet3!$M$26:$M$56</definedName>
    <definedName name="THN">Sheet3!$N$26:$N$28</definedName>
    <definedName name="THNLK">Sheet3!$N$31:$N$34</definedName>
    <definedName name="TRANS">Sheet3!$U$2:$U$7</definedName>
    <definedName name="TujuanTransaksi">Sheet3!$CD$2:$CD$4</definedName>
    <definedName name="USAHA">Sheet3!$CA$2:$CA$4</definedName>
    <definedName name="VP">Sheet3!$C$68:$C$73</definedName>
    <definedName name="WEEK">Sheet3!$P$26:$P$29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2" l="1"/>
  <c r="Q9" i="12"/>
  <c r="M9" i="12"/>
  <c r="O9" i="12" s="1"/>
  <c r="I9" i="12"/>
  <c r="A9" i="12"/>
  <c r="Q8" i="12"/>
  <c r="M8" i="12"/>
  <c r="P8" i="12" s="1"/>
  <c r="I8" i="12"/>
  <c r="A8" i="12"/>
  <c r="Q7" i="12"/>
  <c r="M7" i="12"/>
  <c r="O7" i="12" s="1"/>
  <c r="I7" i="12"/>
  <c r="A7" i="12"/>
  <c r="K4" i="10"/>
  <c r="P9" i="12" l="1"/>
  <c r="O8" i="12"/>
  <c r="P7" i="12"/>
  <c r="M4" i="10"/>
  <c r="I2" i="12"/>
  <c r="H2" i="10"/>
  <c r="I2" i="9"/>
  <c r="D5" i="9"/>
  <c r="C5" i="9"/>
  <c r="D5" i="10"/>
  <c r="C5" i="10"/>
  <c r="N27" i="3"/>
  <c r="N26" i="3" s="1"/>
  <c r="N34" i="3"/>
  <c r="N33" i="3" s="1"/>
  <c r="N32" i="3" s="1"/>
  <c r="N31" i="3" s="1"/>
  <c r="A2" i="12"/>
  <c r="C3" i="12"/>
  <c r="M3" i="12"/>
  <c r="C5" i="12"/>
  <c r="Q2" i="12" s="1"/>
  <c r="D5" i="12"/>
  <c r="M2" i="12" s="1"/>
  <c r="P2" i="12" s="1"/>
  <c r="A2" i="10"/>
  <c r="C3" i="10"/>
  <c r="M3" i="10"/>
  <c r="A2" i="9"/>
  <c r="C3" i="9"/>
  <c r="M3" i="9"/>
  <c r="L4" i="10"/>
  <c r="L4" i="12"/>
  <c r="M4" i="12"/>
  <c r="K4" i="9" l="1"/>
  <c r="M4" i="9" s="1"/>
  <c r="O2" i="12"/>
</calcChain>
</file>

<file path=xl/sharedStrings.xml><?xml version="1.0" encoding="utf-8"?>
<sst xmlns="http://schemas.openxmlformats.org/spreadsheetml/2006/main" count="4135" uniqueCount="3944">
  <si>
    <t>Sandi Pelapor :</t>
  </si>
  <si>
    <t>M</t>
  </si>
  <si>
    <t>No</t>
  </si>
  <si>
    <t>Jenis Produk</t>
  </si>
  <si>
    <t>Sandi</t>
  </si>
  <si>
    <t>Sandi Akun</t>
  </si>
  <si>
    <t>Keterangan</t>
  </si>
  <si>
    <t>Kas dalam Rupiah</t>
  </si>
  <si>
    <t>Bank dalam Rupiah</t>
  </si>
  <si>
    <r>
      <t xml:space="preserve">Kas dalam </t>
    </r>
    <r>
      <rPr>
        <sz val="11"/>
        <color indexed="10"/>
        <rFont val="Calibri"/>
        <family val="2"/>
      </rPr>
      <t>UKA</t>
    </r>
  </si>
  <si>
    <r>
      <t xml:space="preserve">Bank dalam </t>
    </r>
    <r>
      <rPr>
        <sz val="11"/>
        <color indexed="10"/>
        <rFont val="Calibri"/>
        <family val="2"/>
      </rPr>
      <t>UKA</t>
    </r>
  </si>
  <si>
    <t>Piutang TC</t>
  </si>
  <si>
    <t>Piutang Lain-Lain</t>
  </si>
  <si>
    <t>Pajak dibayar Di Muka</t>
  </si>
  <si>
    <t>Sewa dibayar Di Muka</t>
  </si>
  <si>
    <t>Asuransi dibayar Di Muka</t>
  </si>
  <si>
    <r>
      <rPr>
        <sz val="11"/>
        <color indexed="10"/>
        <rFont val="Calibri"/>
        <family val="2"/>
      </rPr>
      <t>Aset</t>
    </r>
    <r>
      <rPr>
        <sz val="11"/>
        <color indexed="8"/>
        <rFont val="Calibri"/>
        <family val="2"/>
      </rPr>
      <t xml:space="preserve"> Tetap-harga perolehan</t>
    </r>
  </si>
  <si>
    <r>
      <t xml:space="preserve">Akumulasi Penyusutan </t>
    </r>
    <r>
      <rPr>
        <sz val="11"/>
        <color indexed="10"/>
        <rFont val="Calibri"/>
        <family val="2"/>
      </rPr>
      <t>Aset</t>
    </r>
    <r>
      <rPr>
        <sz val="11"/>
        <color indexed="8"/>
        <rFont val="Calibri"/>
        <family val="2"/>
      </rPr>
      <t xml:space="preserve"> Tetap</t>
    </r>
  </si>
  <si>
    <t>Aset Lain-lain</t>
  </si>
  <si>
    <t>Pinjaman dalam Rupiah</t>
  </si>
  <si>
    <t>Pinjaman dalam UKA</t>
  </si>
  <si>
    <t>Hutang Pajak</t>
  </si>
  <si>
    <t>Hutang Sewa</t>
  </si>
  <si>
    <t>Kewajiban Pengiriman Uang</t>
  </si>
  <si>
    <t>Kewajiban Lain-lain</t>
  </si>
  <si>
    <t>Modal Disetor</t>
  </si>
  <si>
    <t>Laba Ditahan/(Akumulasi Rugi) - net</t>
  </si>
  <si>
    <t>Lain-lain - menambah ekuitas</t>
  </si>
  <si>
    <t>Lain-lain - mengurangi ekuitas</t>
  </si>
  <si>
    <t>Pos Akun Laba Rugi :</t>
  </si>
  <si>
    <t xml:space="preserve">Penjualan UKA </t>
  </si>
  <si>
    <t xml:space="preserve">Pencairan TC </t>
  </si>
  <si>
    <t xml:space="preserve">Saldo Awal UKA dan TC </t>
  </si>
  <si>
    <t xml:space="preserve">Pembelian UKA dan TC </t>
  </si>
  <si>
    <t>Saldo Akhir UKA dan TC</t>
  </si>
  <si>
    <t>Pendapatan Pengiriman Uang</t>
  </si>
  <si>
    <t>Beban Gaji, Upah dan Tunjangan</t>
  </si>
  <si>
    <t>Beban Sewa</t>
  </si>
  <si>
    <t>Beban Iklan dan promosi</t>
  </si>
  <si>
    <t xml:space="preserve">Beban Air, Listrik dan Telepon </t>
  </si>
  <si>
    <t>Beban Transportasi dan perjalanan</t>
  </si>
  <si>
    <t>Beban Pemeliharaan kendaraan</t>
  </si>
  <si>
    <r>
      <t xml:space="preserve">Penyusutan </t>
    </r>
    <r>
      <rPr>
        <sz val="11"/>
        <color indexed="10"/>
        <rFont val="Calibri"/>
        <family val="2"/>
      </rPr>
      <t>Aset</t>
    </r>
    <r>
      <rPr>
        <sz val="11"/>
        <color indexed="8"/>
        <rFont val="Calibri"/>
        <family val="2"/>
      </rPr>
      <t xml:space="preserve"> Tetap</t>
    </r>
  </si>
  <si>
    <t>Beban Asuransi</t>
  </si>
  <si>
    <t>Beban Lain-Lain (Operasional)</t>
  </si>
  <si>
    <t>Pendapatan Bunga bank</t>
  </si>
  <si>
    <t>Beban Administrasi Bank</t>
  </si>
  <si>
    <t>Beban Bunga Pinjaman</t>
  </si>
  <si>
    <r>
      <t>Laba/(Rugi) Penjualan</t>
    </r>
    <r>
      <rPr>
        <sz val="11"/>
        <color indexed="10"/>
        <rFont val="Calibri"/>
        <family val="2"/>
      </rPr>
      <t xml:space="preserve"> Aset</t>
    </r>
    <r>
      <rPr>
        <sz val="11"/>
        <color indexed="8"/>
        <rFont val="Calibri"/>
        <family val="2"/>
      </rPr>
      <t xml:space="preserve"> Tetap - net</t>
    </r>
  </si>
  <si>
    <t>Laba/(Rugi) Selisih Kurs - net</t>
  </si>
  <si>
    <t>Pendapatan Lain-Lain</t>
  </si>
  <si>
    <t>Beban Lain-Lain (Non Operasional)</t>
  </si>
  <si>
    <t>Pajak Penghasilan</t>
  </si>
  <si>
    <t>01</t>
  </si>
  <si>
    <t>Saldo Positif</t>
  </si>
  <si>
    <t>02</t>
  </si>
  <si>
    <t>Saldo Negatif</t>
  </si>
  <si>
    <t>03</t>
  </si>
  <si>
    <t>Menambah Modal</t>
  </si>
  <si>
    <t>04</t>
  </si>
  <si>
    <t>Mengurangi Modal</t>
  </si>
  <si>
    <t>05</t>
  </si>
  <si>
    <t>Laba periode berjalan (net)</t>
  </si>
  <si>
    <t>06</t>
  </si>
  <si>
    <t xml:space="preserve">Rugi periode berjalan (-/-) (net) </t>
  </si>
  <si>
    <t>07</t>
  </si>
  <si>
    <t>Pembagian Deviden(-/-)</t>
  </si>
  <si>
    <t>08</t>
  </si>
  <si>
    <t>Menambah ekuitas (net)</t>
  </si>
  <si>
    <t>09</t>
  </si>
  <si>
    <t>Mengurangi ekuitas (-/-) (net)</t>
  </si>
  <si>
    <t>Perubahan ekuitas</t>
  </si>
  <si>
    <t>Antigua And Barbuda</t>
  </si>
  <si>
    <t>Anguilla</t>
  </si>
  <si>
    <t>Albania</t>
  </si>
  <si>
    <t>Armenia</t>
  </si>
  <si>
    <t>Netherlands Antilles</t>
  </si>
  <si>
    <t>Angola</t>
  </si>
  <si>
    <t>Antartica</t>
  </si>
  <si>
    <t>Argentina</t>
  </si>
  <si>
    <t>America Samoa</t>
  </si>
  <si>
    <t>Austria</t>
  </si>
  <si>
    <t>Australia</t>
  </si>
  <si>
    <t>Aruba</t>
  </si>
  <si>
    <t>Azerbaijan</t>
  </si>
  <si>
    <t>Bosnia-Herzegowina</t>
  </si>
  <si>
    <t>Barbados</t>
  </si>
  <si>
    <t>Bangladesh</t>
  </si>
  <si>
    <t>Belgium</t>
  </si>
  <si>
    <t>Burkina Fazo</t>
  </si>
  <si>
    <t>Bulgaria</t>
  </si>
  <si>
    <t>Bahrain</t>
  </si>
  <si>
    <t>Burundi</t>
  </si>
  <si>
    <t>Benin</t>
  </si>
  <si>
    <t>Bermuda</t>
  </si>
  <si>
    <t>Brunei Darussalam</t>
  </si>
  <si>
    <t>Bolivia</t>
  </si>
  <si>
    <t>Brazil</t>
  </si>
  <si>
    <t>Bahamas</t>
  </si>
  <si>
    <t>Bhutan</t>
  </si>
  <si>
    <t>Bouvet Island</t>
  </si>
  <si>
    <t>Botswana</t>
  </si>
  <si>
    <t>Belarus</t>
  </si>
  <si>
    <t>Belize</t>
  </si>
  <si>
    <t>Canada</t>
  </si>
  <si>
    <t>Cocos (Keeling) Island</t>
  </si>
  <si>
    <t>Congo, The Democratic Republic of the</t>
  </si>
  <si>
    <t>Central African Republic</t>
  </si>
  <si>
    <t>Congo</t>
  </si>
  <si>
    <t>Switzerland</t>
  </si>
  <si>
    <t>Ivory Coast</t>
  </si>
  <si>
    <t>Cook Island</t>
  </si>
  <si>
    <t>Chile</t>
  </si>
  <si>
    <t>Cameroon</t>
  </si>
  <si>
    <t>China</t>
  </si>
  <si>
    <t>Costa Rica</t>
  </si>
  <si>
    <t>Cuba</t>
  </si>
  <si>
    <t>Cape Verde</t>
  </si>
  <si>
    <t>Christmas Island</t>
  </si>
  <si>
    <t>Cyprus</t>
  </si>
  <si>
    <t>Czech Republic</t>
  </si>
  <si>
    <t>Germany</t>
  </si>
  <si>
    <t>Djibouti</t>
  </si>
  <si>
    <t>Denmark</t>
  </si>
  <si>
    <t>Dominica</t>
  </si>
  <si>
    <t>Dominican Republic</t>
  </si>
  <si>
    <t>Aljazair</t>
  </si>
  <si>
    <t>Ecuador</t>
  </si>
  <si>
    <t>Estonia</t>
  </si>
  <si>
    <t>Egypt</t>
  </si>
  <si>
    <t>Western Sahara</t>
  </si>
  <si>
    <t>Eritrea</t>
  </si>
  <si>
    <t>Spain</t>
  </si>
  <si>
    <t>Ethiopia</t>
  </si>
  <si>
    <t>Finland</t>
  </si>
  <si>
    <t>Fiji</t>
  </si>
  <si>
    <t>Falkland Islands (Malvinas)</t>
  </si>
  <si>
    <t>Micronesia, Federated State of</t>
  </si>
  <si>
    <t>Faroe Islands</t>
  </si>
  <si>
    <t>France</t>
  </si>
  <si>
    <t>France, Metropolitan</t>
  </si>
  <si>
    <t>Gabon</t>
  </si>
  <si>
    <t>United Kingdom (Inggris)</t>
  </si>
  <si>
    <t>Grenada</t>
  </si>
  <si>
    <t>Georgia</t>
  </si>
  <si>
    <t>French Guiana</t>
  </si>
  <si>
    <t>Ghana</t>
  </si>
  <si>
    <t>Gibraltar</t>
  </si>
  <si>
    <t>Greenland</t>
  </si>
  <si>
    <t>Gambia</t>
  </si>
  <si>
    <t>Guinea</t>
  </si>
  <si>
    <t>Guadeloupe</t>
  </si>
  <si>
    <t>Equatorial Guinea</t>
  </si>
  <si>
    <t>Greece (Yunani)</t>
  </si>
  <si>
    <t>South Gregoria &amp; The South Sandwich Islands</t>
  </si>
  <si>
    <t>Guatemala</t>
  </si>
  <si>
    <t>Guam</t>
  </si>
  <si>
    <t>Guinea Bissau</t>
  </si>
  <si>
    <t>Guyana</t>
  </si>
  <si>
    <t>Hongkong</t>
  </si>
  <si>
    <t>Heard and McDonald Island</t>
  </si>
  <si>
    <t>Honduras</t>
  </si>
  <si>
    <t>Croatia</t>
  </si>
  <si>
    <t>Haiti</t>
  </si>
  <si>
    <t>Hungary</t>
  </si>
  <si>
    <t>Indonesia</t>
  </si>
  <si>
    <t>Ireland</t>
  </si>
  <si>
    <t>Israel</t>
  </si>
  <si>
    <t>India</t>
  </si>
  <si>
    <t>British Indian Ocean Territory</t>
  </si>
  <si>
    <t>Iraq</t>
  </si>
  <si>
    <t>Iran</t>
  </si>
  <si>
    <t>Iceland</t>
  </si>
  <si>
    <t>Italia</t>
  </si>
  <si>
    <t>Jamaica</t>
  </si>
  <si>
    <t>Jordan</t>
  </si>
  <si>
    <t>Japan</t>
  </si>
  <si>
    <t>Kenya</t>
  </si>
  <si>
    <t>Kyrgyzstan</t>
  </si>
  <si>
    <t>Cambodia</t>
  </si>
  <si>
    <t>Kiribati</t>
  </si>
  <si>
    <t>Comoros</t>
  </si>
  <si>
    <t>St. Kitt and Nevis</t>
  </si>
  <si>
    <t>Korea Utara</t>
  </si>
  <si>
    <t>Korea Selatan</t>
  </si>
  <si>
    <t>Kuwait</t>
  </si>
  <si>
    <t>Cayman Islands</t>
  </si>
  <si>
    <t>Kazaakhstan</t>
  </si>
  <si>
    <t>Lao People's Democratic Republic</t>
  </si>
  <si>
    <t>Lebanon</t>
  </si>
  <si>
    <t>Saint Lucia</t>
  </si>
  <si>
    <t>Liechtenstein</t>
  </si>
  <si>
    <t>Sri Langka/Ceylon</t>
  </si>
  <si>
    <t>Liberia</t>
  </si>
  <si>
    <t>Lesotho</t>
  </si>
  <si>
    <t>Lithuania</t>
  </si>
  <si>
    <t>Luxemberg</t>
  </si>
  <si>
    <t>Latvia</t>
  </si>
  <si>
    <t>Libyan Arab Jamahiriya</t>
  </si>
  <si>
    <t>Morocco</t>
  </si>
  <si>
    <t>Monaco</t>
  </si>
  <si>
    <t>Maldova, Republic of</t>
  </si>
  <si>
    <t>Madagascar</t>
  </si>
  <si>
    <t>Marshall Islands</t>
  </si>
  <si>
    <t>Macedonia</t>
  </si>
  <si>
    <t>Mali</t>
  </si>
  <si>
    <t>Myanmar</t>
  </si>
  <si>
    <t>Mongolia</t>
  </si>
  <si>
    <t>Macau</t>
  </si>
  <si>
    <t>Northern Mariana Islands</t>
  </si>
  <si>
    <t>Martinique</t>
  </si>
  <si>
    <t>Muaritania</t>
  </si>
  <si>
    <t>Montserrat</t>
  </si>
  <si>
    <t>Malta</t>
  </si>
  <si>
    <t>Mauritius</t>
  </si>
  <si>
    <t>Maldives</t>
  </si>
  <si>
    <t>Malawi</t>
  </si>
  <si>
    <t>Mexico</t>
  </si>
  <si>
    <t>Malaysia</t>
  </si>
  <si>
    <t>Mozambique</t>
  </si>
  <si>
    <t>Others</t>
  </si>
  <si>
    <t>Namibia</t>
  </si>
  <si>
    <t>New Caledonia</t>
  </si>
  <si>
    <t>Niger</t>
  </si>
  <si>
    <t>Norfolk Islands</t>
  </si>
  <si>
    <t>Nigeria</t>
  </si>
  <si>
    <t>Nicaragua</t>
  </si>
  <si>
    <t>United Arab Emirat</t>
  </si>
  <si>
    <t>Afghanistan</t>
  </si>
  <si>
    <t>Netherlands</t>
  </si>
  <si>
    <t>Norway</t>
  </si>
  <si>
    <t>Nepal</t>
  </si>
  <si>
    <t>Nauru</t>
  </si>
  <si>
    <t>Nieue</t>
  </si>
  <si>
    <t>New Zealand</t>
  </si>
  <si>
    <t>Oman</t>
  </si>
  <si>
    <t>Panama</t>
  </si>
  <si>
    <t>Peru</t>
  </si>
  <si>
    <t>French Polynesia</t>
  </si>
  <si>
    <t>Papua New Guinea</t>
  </si>
  <si>
    <t>Philippines</t>
  </si>
  <si>
    <t>Pakistan</t>
  </si>
  <si>
    <t>Poland</t>
  </si>
  <si>
    <t>St. Pierre &amp; Miquelon</t>
  </si>
  <si>
    <t>Pitcairn</t>
  </si>
  <si>
    <t>Puerto Rico</t>
  </si>
  <si>
    <t>Portugal</t>
  </si>
  <si>
    <t>Palau</t>
  </si>
  <si>
    <t>Paraguay</t>
  </si>
  <si>
    <t>Qatar</t>
  </si>
  <si>
    <t>Reunion</t>
  </si>
  <si>
    <t>Romania</t>
  </si>
  <si>
    <t>Russian Federation</t>
  </si>
  <si>
    <t>Rwanda</t>
  </si>
  <si>
    <t>Saudi Arabia</t>
  </si>
  <si>
    <t>Solomon Islands</t>
  </si>
  <si>
    <t>Seychelles</t>
  </si>
  <si>
    <t>Sudan</t>
  </si>
  <si>
    <t>Sweden</t>
  </si>
  <si>
    <t>Singapore</t>
  </si>
  <si>
    <t>St. Helena</t>
  </si>
  <si>
    <t>Slovenia</t>
  </si>
  <si>
    <t>Svalbard and Jan Mayen Island</t>
  </si>
  <si>
    <t>Slovakia (Slovak Republic)</t>
  </si>
  <si>
    <t>Siera Leoner</t>
  </si>
  <si>
    <t>San Marino</t>
  </si>
  <si>
    <t>Senegal</t>
  </si>
  <si>
    <t>Somalia</t>
  </si>
  <si>
    <t>Suriname</t>
  </si>
  <si>
    <t>Sao Tome &amp; Principe</t>
  </si>
  <si>
    <t>Union of Soviet Sociallis Republics</t>
  </si>
  <si>
    <t>El Savador</t>
  </si>
  <si>
    <t>Syrian Arab Republic</t>
  </si>
  <si>
    <t>Swaziland</t>
  </si>
  <si>
    <t>TC</t>
  </si>
  <si>
    <t>Turks &amp; Caicos Island</t>
  </si>
  <si>
    <t>Chad</t>
  </si>
  <si>
    <t>French Southern Territories</t>
  </si>
  <si>
    <t>Togo</t>
  </si>
  <si>
    <t>Thailand</t>
  </si>
  <si>
    <t>Tajikistan</t>
  </si>
  <si>
    <t>Tokelau</t>
  </si>
  <si>
    <t>Turkmenistan</t>
  </si>
  <si>
    <t>Tunisia</t>
  </si>
  <si>
    <t>Tonga</t>
  </si>
  <si>
    <t>Turkey</t>
  </si>
  <si>
    <t>Trinidad &amp; Tobago</t>
  </si>
  <si>
    <t>Tuvalu</t>
  </si>
  <si>
    <t>Taiwan</t>
  </si>
  <si>
    <t>Tanzania</t>
  </si>
  <si>
    <t>Ukraine</t>
  </si>
  <si>
    <t>Uganda</t>
  </si>
  <si>
    <t>US Minor Outlying Islands</t>
  </si>
  <si>
    <t>United States of America</t>
  </si>
  <si>
    <t>Uruguay</t>
  </si>
  <si>
    <t>Uzbekistan</t>
  </si>
  <si>
    <t>Vatucan City State</t>
  </si>
  <si>
    <t>St. Vincent &amp; The Grenades</t>
  </si>
  <si>
    <t>Venezuela</t>
  </si>
  <si>
    <t>Virgin Islands (British)</t>
  </si>
  <si>
    <t>Virgin Islands (US)</t>
  </si>
  <si>
    <t>Vietnam</t>
  </si>
  <si>
    <t>Vanuatu</t>
  </si>
  <si>
    <t>Wallis &amp; Futuna Islands</t>
  </si>
  <si>
    <t>Samoa</t>
  </si>
  <si>
    <t>West Africa</t>
  </si>
  <si>
    <t>Yemen</t>
  </si>
  <si>
    <t>Mayotte</t>
  </si>
  <si>
    <t>Yugoslavia</t>
  </si>
  <si>
    <t>South Africa</t>
  </si>
  <si>
    <t>Zambia</t>
  </si>
  <si>
    <t>Zimbabwe</t>
  </si>
  <si>
    <t>Andorra</t>
  </si>
  <si>
    <t>Lembaga Internasional</t>
  </si>
  <si>
    <t>GUERNSEY, C.L</t>
  </si>
  <si>
    <t>ISLE OF MAN</t>
  </si>
  <si>
    <t>JERSEY, C.L</t>
  </si>
  <si>
    <t>Sandi Negara</t>
  </si>
  <si>
    <t>Hubungan Keuangan</t>
  </si>
  <si>
    <t>Sandi Transaksi</t>
  </si>
  <si>
    <t>Propinsi</t>
  </si>
  <si>
    <t>Status Kepemilikan</t>
  </si>
  <si>
    <t>D.I Yogyakarta</t>
  </si>
  <si>
    <t>Jawa Tengah</t>
  </si>
  <si>
    <t>Jawa Timur</t>
  </si>
  <si>
    <t>Bengkulu</t>
  </si>
  <si>
    <t>Jambi</t>
  </si>
  <si>
    <t>Nanggroe Aceh Darussalam</t>
  </si>
  <si>
    <t>Sumatra Utara</t>
  </si>
  <si>
    <t>Sumatra Barat</t>
  </si>
  <si>
    <t>Riau</t>
  </si>
  <si>
    <t>Sumatra Selatan</t>
  </si>
  <si>
    <t>Bangka Belitung</t>
  </si>
  <si>
    <t>Lampung</t>
  </si>
  <si>
    <t>Kalimantan Selatan</t>
  </si>
  <si>
    <t>Kalimantan Barat</t>
  </si>
  <si>
    <t>Kalimantan Timur</t>
  </si>
  <si>
    <t>Kalimantan Tengah</t>
  </si>
  <si>
    <t>Sulawesi Tengah</t>
  </si>
  <si>
    <t>Sulawesi Selatan</t>
  </si>
  <si>
    <t>Gorontalo</t>
  </si>
  <si>
    <t>Sulawesi Barat</t>
  </si>
  <si>
    <t>Sulawesi Tenggara</t>
  </si>
  <si>
    <t>Nusa Tenggara</t>
  </si>
  <si>
    <t>Bali</t>
  </si>
  <si>
    <t>Nusa Tenggara Timur</t>
  </si>
  <si>
    <t>Maluku</t>
  </si>
  <si>
    <t>Papua</t>
  </si>
  <si>
    <t>Maluku Utara</t>
  </si>
  <si>
    <t xml:space="preserve">Kab. Lampung Utara </t>
  </si>
  <si>
    <t xml:space="preserve">Kab. Lampung Barat </t>
  </si>
  <si>
    <t xml:space="preserve">Kab. Tulang Bawang </t>
  </si>
  <si>
    <t xml:space="preserve">Kab. Tanggamus </t>
  </si>
  <si>
    <t>Kab.  Lampung Timur</t>
  </si>
  <si>
    <t>Kab.  Way Kanan</t>
  </si>
  <si>
    <t xml:space="preserve">Kota Bandar Lampung </t>
  </si>
  <si>
    <t xml:space="preserve">Kota  Metro </t>
  </si>
  <si>
    <t>Kab./Kota Lainnya di Lampung</t>
  </si>
  <si>
    <t xml:space="preserve">Kab. Banjar </t>
  </si>
  <si>
    <t xml:space="preserve">Kab. Tanah Laut </t>
  </si>
  <si>
    <t xml:space="preserve">Kab. Tapin </t>
  </si>
  <si>
    <t>Kab. Hulu Sungai Selatan</t>
  </si>
  <si>
    <t xml:space="preserve">Kab. Hulu Sungai Tengah </t>
  </si>
  <si>
    <t xml:space="preserve">Kab. Hulu Sungai Utara </t>
  </si>
  <si>
    <t xml:space="preserve">Kab. Barito Kuala </t>
  </si>
  <si>
    <t xml:space="preserve">Kab. Kota Baru </t>
  </si>
  <si>
    <t>Kab. Tabalong</t>
  </si>
  <si>
    <t>Kab.Tanah Bumbu</t>
  </si>
  <si>
    <t>Kab. Balangan</t>
  </si>
  <si>
    <t xml:space="preserve">Kota Banjarmasin </t>
  </si>
  <si>
    <t xml:space="preserve">Kota Banjarbaru </t>
  </si>
  <si>
    <t>Kab./Kota Lainnya di Kalsel</t>
  </si>
  <si>
    <t xml:space="preserve">Kab. Pontianak </t>
  </si>
  <si>
    <t xml:space="preserve">Kab. Sambas </t>
  </si>
  <si>
    <t xml:space="preserve">Kab. Ketapang </t>
  </si>
  <si>
    <t xml:space="preserve">Kab. Sanggau </t>
  </si>
  <si>
    <t xml:space="preserve">Kab. Sintang </t>
  </si>
  <si>
    <t xml:space="preserve">Kab. Kapuas Hulu </t>
  </si>
  <si>
    <t xml:space="preserve">Kab. Bengkayang    </t>
  </si>
  <si>
    <t xml:space="preserve">Kab. Landak   </t>
  </si>
  <si>
    <t>Kab. Sekadau</t>
  </si>
  <si>
    <t>Jawa Barat</t>
  </si>
  <si>
    <t>Banten</t>
  </si>
  <si>
    <t>DKI Jakarta</t>
  </si>
  <si>
    <t>Kab./Kota Lainnya di Aceh</t>
  </si>
  <si>
    <t xml:space="preserve">Kab. Deli Serdang </t>
  </si>
  <si>
    <t xml:space="preserve">Kab. Langkat </t>
  </si>
  <si>
    <t xml:space="preserve">Kab.  Karo </t>
  </si>
  <si>
    <t>Kab. Simalungun</t>
  </si>
  <si>
    <t xml:space="preserve">Kab. Labuhan Batu </t>
  </si>
  <si>
    <t xml:space="preserve">Kab. Asahan </t>
  </si>
  <si>
    <t xml:space="preserve">Kab. Dairi </t>
  </si>
  <si>
    <t xml:space="preserve">Kab. Tapanuli Utara </t>
  </si>
  <si>
    <t xml:space="preserve">Kab. Tapanuli Tengah </t>
  </si>
  <si>
    <t xml:space="preserve">Kab. Tapanuli Selatan </t>
  </si>
  <si>
    <t xml:space="preserve">Kab. Nias </t>
  </si>
  <si>
    <t>Kota Rantau Prapat</t>
  </si>
  <si>
    <t xml:space="preserve">Kab. Toba Samosir    </t>
  </si>
  <si>
    <t xml:space="preserve">Kab. Mandailing Natal  </t>
  </si>
  <si>
    <t>Kab. Nias Selatan</t>
  </si>
  <si>
    <t>Kab. Humbang Hasundutan</t>
  </si>
  <si>
    <t>Kab. Pakpak Bharat</t>
  </si>
  <si>
    <t>Kab. Samosir</t>
  </si>
  <si>
    <t>Kab. Serdang Bedagai</t>
  </si>
  <si>
    <t xml:space="preserve">Kota Tebing Tinggi </t>
  </si>
  <si>
    <t xml:space="preserve">Kota Binjai </t>
  </si>
  <si>
    <t xml:space="preserve">Kota Pematang Siantar </t>
  </si>
  <si>
    <t xml:space="preserve">Kota Tanjung Balai </t>
  </si>
  <si>
    <t>Kota Sibolga</t>
  </si>
  <si>
    <t xml:space="preserve">Kota Medan </t>
  </si>
  <si>
    <t>Kota Kisaran</t>
  </si>
  <si>
    <t xml:space="preserve">Kota Padang Sidempuan </t>
  </si>
  <si>
    <t>Kab/Kota Lainnya di Sumut</t>
  </si>
  <si>
    <t xml:space="preserve">Kab. Agam </t>
  </si>
  <si>
    <t xml:space="preserve">Kab. Pasaman </t>
  </si>
  <si>
    <t xml:space="preserve">Kab. Limapuluh Koto </t>
  </si>
  <si>
    <t>Kab. Solok Selatan</t>
  </si>
  <si>
    <t xml:space="preserve">Kab. Padang Pariaman </t>
  </si>
  <si>
    <t xml:space="preserve">Kab. Buton </t>
  </si>
  <si>
    <t xml:space="preserve">Kab. Kendari </t>
  </si>
  <si>
    <t xml:space="preserve">Kab. Muna </t>
  </si>
  <si>
    <t xml:space="preserve">Kab. Kolaka </t>
  </si>
  <si>
    <t>Kab. Wakatobi</t>
  </si>
  <si>
    <t>Kab. Konawe</t>
  </si>
  <si>
    <t xml:space="preserve">Kab. Konawe Selatan </t>
  </si>
  <si>
    <t>Kab. Bombana</t>
  </si>
  <si>
    <t>Kab. Kolaka Utara</t>
  </si>
  <si>
    <t xml:space="preserve">Kota Bau-Bau </t>
  </si>
  <si>
    <t xml:space="preserve">Kota Kendari </t>
  </si>
  <si>
    <t>Kab./Kota Lainnya di Sulteng</t>
  </si>
  <si>
    <t xml:space="preserve">Kab. Lombok Barat </t>
  </si>
  <si>
    <t xml:space="preserve">Kab. Lombok Tengah </t>
  </si>
  <si>
    <t xml:space="preserve">Kab. Lombok Timur </t>
  </si>
  <si>
    <t xml:space="preserve">Kab. Sumbawa </t>
  </si>
  <si>
    <t xml:space="preserve">Kab. Bima </t>
  </si>
  <si>
    <t xml:space="preserve">Kab. Dompu </t>
  </si>
  <si>
    <t>Kab. Sumbawa Barat</t>
  </si>
  <si>
    <t xml:space="preserve">Kota Mataram </t>
  </si>
  <si>
    <t>Kota. Bima</t>
  </si>
  <si>
    <t>Kab./Kota Lainnya di NTB</t>
  </si>
  <si>
    <t xml:space="preserve">Kab. Buleleng </t>
  </si>
  <si>
    <t xml:space="preserve">Kab. Jembrana </t>
  </si>
  <si>
    <t xml:space="preserve">Kab. Tabanan </t>
  </si>
  <si>
    <t>Kab. Badung</t>
  </si>
  <si>
    <t xml:space="preserve">Kab. Gianyar </t>
  </si>
  <si>
    <t xml:space="preserve">Kab. Klungkung </t>
  </si>
  <si>
    <t xml:space="preserve">Kab. Bangli </t>
  </si>
  <si>
    <t xml:space="preserve">Kab. Karangasem </t>
  </si>
  <si>
    <t xml:space="preserve">Kota Denpasar </t>
  </si>
  <si>
    <t>Kab./Kota Lainnya di Bali</t>
  </si>
  <si>
    <t xml:space="preserve">Kab. Kupang </t>
  </si>
  <si>
    <t xml:space="preserve">Kab. Timor-Tengah Selatan </t>
  </si>
  <si>
    <t xml:space="preserve">Kab. Timor-Tengah Utara </t>
  </si>
  <si>
    <t xml:space="preserve">Kab. Belu </t>
  </si>
  <si>
    <t xml:space="preserve">Kab. Alor </t>
  </si>
  <si>
    <t xml:space="preserve">Kab. Flores Timur </t>
  </si>
  <si>
    <t xml:space="preserve">Kab. Sikka </t>
  </si>
  <si>
    <t xml:space="preserve">Kab. Ende </t>
  </si>
  <si>
    <t xml:space="preserve">Kab. Ngada </t>
  </si>
  <si>
    <t xml:space="preserve">Kab. Manggarai </t>
  </si>
  <si>
    <t>Kab. Sumba Timur</t>
  </si>
  <si>
    <t xml:space="preserve">Kab. Sumba Barat </t>
  </si>
  <si>
    <t>Kab. Lembata</t>
  </si>
  <si>
    <t>Kab. Rote</t>
  </si>
  <si>
    <t>Kab. Manggarai Barat</t>
  </si>
  <si>
    <t xml:space="preserve">Kota Kupang </t>
  </si>
  <si>
    <t>Kab./Kota Lainnya di NTT</t>
  </si>
  <si>
    <t xml:space="preserve">Kab. Maluku Tengah </t>
  </si>
  <si>
    <t xml:space="preserve">Kab. Maluku Tenggara </t>
  </si>
  <si>
    <t>Kab. Maluku Tenggara Barat</t>
  </si>
  <si>
    <t>Kab Buru</t>
  </si>
  <si>
    <t>Kota Seram Bagian Barat</t>
  </si>
  <si>
    <t>Kota Seram Bagian Timur</t>
  </si>
  <si>
    <t>Kota Kepulauan Aru</t>
  </si>
  <si>
    <t xml:space="preserve">Kota Ambon </t>
  </si>
  <si>
    <t>Kab./Kota Lainnya di Maluku</t>
  </si>
  <si>
    <t xml:space="preserve">Kab. Jayapura </t>
  </si>
  <si>
    <t xml:space="preserve">Kab. Biak Numfor </t>
  </si>
  <si>
    <t xml:space="preserve">Kab. Yapen-Waropen </t>
  </si>
  <si>
    <t xml:space="preserve">Kab. Merauke </t>
  </si>
  <si>
    <t xml:space="preserve">Kab. Paniai </t>
  </si>
  <si>
    <t xml:space="preserve">Kab. Jayawijaya </t>
  </si>
  <si>
    <t>Kab. Nabire</t>
  </si>
  <si>
    <t>Kab. Mimika</t>
  </si>
  <si>
    <t>Kab. Puncak Jaya</t>
  </si>
  <si>
    <t>Kab. Sarmi</t>
  </si>
  <si>
    <t>Kab. Keerom</t>
  </si>
  <si>
    <t>Kab. Pegunungan Bintang</t>
  </si>
  <si>
    <t>Kab. Yahukimo</t>
  </si>
  <si>
    <t>Kab. Tolikara</t>
  </si>
  <si>
    <t>Kab. Waropen</t>
  </si>
  <si>
    <t>Kab. Boven Digoel</t>
  </si>
  <si>
    <t>Kab. Mappi</t>
  </si>
  <si>
    <t>Kab. Asmat</t>
  </si>
  <si>
    <t>Kab. Supiori</t>
  </si>
  <si>
    <t xml:space="preserve">Kota Jayapura </t>
  </si>
  <si>
    <t>Kab./Kota Lainnya di Papua</t>
  </si>
  <si>
    <t xml:space="preserve">Kab. Maluku Utara   </t>
  </si>
  <si>
    <t xml:space="preserve">Kab. Halmahera Tengah  </t>
  </si>
  <si>
    <t>Kab. Halmahera Utara</t>
  </si>
  <si>
    <t>Kab. Halmahera Timur</t>
  </si>
  <si>
    <t>Kab. Halmahera Barat</t>
  </si>
  <si>
    <t>Kab. Halmahera Selatan</t>
  </si>
  <si>
    <t>Kab. Kepulauan Sula</t>
  </si>
  <si>
    <t xml:space="preserve">Kota Ternate   </t>
  </si>
  <si>
    <t>Kota Tidore Kepulauan</t>
  </si>
  <si>
    <t>Kab./Kota Lainnya di Maluku Utara</t>
  </si>
  <si>
    <t>Kepala Daerah Provinsi Irian Jaya Barat</t>
  </si>
  <si>
    <t xml:space="preserve">Kab. Sorong </t>
  </si>
  <si>
    <t xml:space="preserve">Kab. Fak-Fak </t>
  </si>
  <si>
    <t xml:space="preserve">Kab. Manokwari </t>
  </si>
  <si>
    <t>Kab. Sorong Selatan</t>
  </si>
  <si>
    <t>Kab. Raja Ampat</t>
  </si>
  <si>
    <t>Kab. Kaimana</t>
  </si>
  <si>
    <t>Kab. Teluk Bintuni</t>
  </si>
  <si>
    <t>Kab. Teluk Wondama</t>
  </si>
  <si>
    <t>Kota Sorong</t>
  </si>
  <si>
    <t>Kab./Kota Lainnya di Irja Barat</t>
  </si>
  <si>
    <t>Di Luar Indonesia</t>
  </si>
  <si>
    <t xml:space="preserve">Kab. Pesisir Selatan </t>
  </si>
  <si>
    <t xml:space="preserve">Kab. Tanah Datar </t>
  </si>
  <si>
    <t>Kab. Sawahlunto/Sijunjung</t>
  </si>
  <si>
    <t xml:space="preserve">Kab. Kepulauan Mentawai   </t>
  </si>
  <si>
    <t>Kab. Pasaman Barat</t>
  </si>
  <si>
    <t>Kab. Dharmasraya</t>
  </si>
  <si>
    <t xml:space="preserve">Kota Bukittinggi </t>
  </si>
  <si>
    <t>Kota Padang</t>
  </si>
  <si>
    <t>Kota Sawahlunto</t>
  </si>
  <si>
    <t xml:space="preserve">Kota Padang Panjang </t>
  </si>
  <si>
    <t xml:space="preserve">Kota Solok </t>
  </si>
  <si>
    <t xml:space="preserve">Kota Payakumbuh </t>
  </si>
  <si>
    <t xml:space="preserve">Kota Pariaman </t>
  </si>
  <si>
    <t>Kab/Kota Lainnya di Sumbar</t>
  </si>
  <si>
    <t>Kab. Kampar</t>
  </si>
  <si>
    <t xml:space="preserve">Kab. Bengkalis </t>
  </si>
  <si>
    <t xml:space="preserve">Kab. Indragiri Hulu </t>
  </si>
  <si>
    <t>Kab. Indragiri Hilir</t>
  </si>
  <si>
    <t>Kab. Rokan Hulu</t>
  </si>
  <si>
    <t xml:space="preserve">Kab. Rokan Hilir   </t>
  </si>
  <si>
    <t xml:space="preserve">Kab. Pelalawan  </t>
  </si>
  <si>
    <t xml:space="preserve">Kab. Siak </t>
  </si>
  <si>
    <t xml:space="preserve">Kab. Kuantan Singingi   </t>
  </si>
  <si>
    <t xml:space="preserve">Kota Pekanbaru </t>
  </si>
  <si>
    <t xml:space="preserve">Kota Dumai </t>
  </si>
  <si>
    <t>Kab./Kota Lainnya di Riau</t>
  </si>
  <si>
    <t xml:space="preserve">Kab. Musi Banyuasin </t>
  </si>
  <si>
    <t xml:space="preserve">Kab. Ogan Komering Ulu </t>
  </si>
  <si>
    <t xml:space="preserve">Kab. Lematang Ilir Ogan Tengah (Muara Enim) </t>
  </si>
  <si>
    <t>Kab. Lahat</t>
  </si>
  <si>
    <t xml:space="preserve">Kab. Musi Rawas </t>
  </si>
  <si>
    <t xml:space="preserve">Kab. Ogan Komering Ilir </t>
  </si>
  <si>
    <t>Kab. Pangkalan Balai</t>
  </si>
  <si>
    <t>Kab. Banyuasin</t>
  </si>
  <si>
    <t>Kab. Ogan Komeing Ulu Selatan</t>
  </si>
  <si>
    <t>Kab. Ogan Komeing Ulu Timur</t>
  </si>
  <si>
    <t>Kab. Ogan Ilir</t>
  </si>
  <si>
    <t xml:space="preserve">Kota Palembang </t>
  </si>
  <si>
    <t xml:space="preserve">Kota Lubuklinggau </t>
  </si>
  <si>
    <t xml:space="preserve">Kota Prabumulih </t>
  </si>
  <si>
    <t>Kota Baturaja</t>
  </si>
  <si>
    <t xml:space="preserve">Kota Pagar Alam   </t>
  </si>
  <si>
    <t>Kab./Kota Lainnya di Sumsel</t>
  </si>
  <si>
    <t xml:space="preserve">Kab. Bangka </t>
  </si>
  <si>
    <t>Kab. Belitung</t>
  </si>
  <si>
    <t>Kab. Bangka Barat</t>
  </si>
  <si>
    <t>Kab. Bangka Selatan</t>
  </si>
  <si>
    <t>Kab. Bangka Tengah</t>
  </si>
  <si>
    <t xml:space="preserve">Kab. Belitung Timur </t>
  </si>
  <si>
    <t xml:space="preserve">Kota Pangkal Pinang </t>
  </si>
  <si>
    <t>Kab./Kota Lainnya di Kep. Bangka</t>
  </si>
  <si>
    <t>Kepala Daerah Provinsi Kep. Riau</t>
  </si>
  <si>
    <t>Kab. Karimun</t>
  </si>
  <si>
    <t>Kab. Lingga</t>
  </si>
  <si>
    <t>Kab. Natuna</t>
  </si>
  <si>
    <t>Kab. Bintan (d/h Kab. Kepulauan Riau)</t>
  </si>
  <si>
    <t xml:space="preserve">Kota Tanjung Pinang </t>
  </si>
  <si>
    <t>Kota Batam</t>
  </si>
  <si>
    <t>Kab./Kota Lainnya di Kep. Riau</t>
  </si>
  <si>
    <t xml:space="preserve">Kab. Lampung Selatan </t>
  </si>
  <si>
    <t xml:space="preserve">Kab. Lampung Tengah </t>
  </si>
  <si>
    <t>Kab. Melawi</t>
  </si>
  <si>
    <t xml:space="preserve">Kota Pontianak </t>
  </si>
  <si>
    <t xml:space="preserve">Kota Singkawang </t>
  </si>
  <si>
    <t>Kab./Kota Lainnya di Kalbar</t>
  </si>
  <si>
    <t>Kab. Kutai Kartanegara</t>
  </si>
  <si>
    <t xml:space="preserve">Kab. Berau </t>
  </si>
  <si>
    <t>Kab. Pasir</t>
  </si>
  <si>
    <t xml:space="preserve">Kab. Bulungan </t>
  </si>
  <si>
    <t xml:space="preserve">Kab. Kutai Barat   </t>
  </si>
  <si>
    <t xml:space="preserve">Kab. Kutai Timur </t>
  </si>
  <si>
    <t>Kab. Bulungan Selatan</t>
  </si>
  <si>
    <t>Kab. Bulungan Utara</t>
  </si>
  <si>
    <t>Kab. Nunukan</t>
  </si>
  <si>
    <t>Kab. Malinau</t>
  </si>
  <si>
    <t>Kab. Penajam Paser Utara</t>
  </si>
  <si>
    <t xml:space="preserve">Kota Samarinda </t>
  </si>
  <si>
    <t xml:space="preserve">Kota Balikpapan </t>
  </si>
  <si>
    <t xml:space="preserve">Kota Tarakan </t>
  </si>
  <si>
    <t xml:space="preserve">Kota Bontang </t>
  </si>
  <si>
    <t>Kab./Kota Lainnya di Kaltim</t>
  </si>
  <si>
    <t xml:space="preserve">Kab. Kapuas </t>
  </si>
  <si>
    <t xml:space="preserve">Kab. Kotawaringin Barat </t>
  </si>
  <si>
    <t>Kab. Kotawaringin Timur</t>
  </si>
  <si>
    <t xml:space="preserve">Kab. Barito Selatan </t>
  </si>
  <si>
    <t>Kab. Barito Utara</t>
  </si>
  <si>
    <t>Kab. Murung Raya</t>
  </si>
  <si>
    <t>Kab. Barito Timur</t>
  </si>
  <si>
    <t>Kab. Gunung Mas</t>
  </si>
  <si>
    <t>Kab. Pulang Pisau</t>
  </si>
  <si>
    <t>Kab. Seruyan</t>
  </si>
  <si>
    <t>Kab. Katingan</t>
  </si>
  <si>
    <t>Kab. Sukamara</t>
  </si>
  <si>
    <t>Kab. Lamandau</t>
  </si>
  <si>
    <t xml:space="preserve">Kota Palangkaraya </t>
  </si>
  <si>
    <t>Kab./Kota Lainnya di Kalteng</t>
  </si>
  <si>
    <t xml:space="preserve">Kab. Donggala </t>
  </si>
  <si>
    <t xml:space="preserve">Kab. Poso </t>
  </si>
  <si>
    <t xml:space="preserve">Kab. Parimo/Banggai </t>
  </si>
  <si>
    <t>Kab. Toli-Toli</t>
  </si>
  <si>
    <t xml:space="preserve">Kab.Banggai Kepulauan   </t>
  </si>
  <si>
    <t xml:space="preserve">Kab. Morowali  </t>
  </si>
  <si>
    <t xml:space="preserve">Kab. Buol    </t>
  </si>
  <si>
    <t>Kab. Tojo Una-Una</t>
  </si>
  <si>
    <t xml:space="preserve">Kota Palu </t>
  </si>
  <si>
    <t xml:space="preserve">Kab. Pinrang </t>
  </si>
  <si>
    <t xml:space="preserve">Kab. Gowa </t>
  </si>
  <si>
    <t xml:space="preserve">Kab. Wajo </t>
  </si>
  <si>
    <t xml:space="preserve">Kab. Bone </t>
  </si>
  <si>
    <t xml:space="preserve">Kab. Tana Toraja </t>
  </si>
  <si>
    <t xml:space="preserve">Kab. Maros </t>
  </si>
  <si>
    <t>Kab. Luwu</t>
  </si>
  <si>
    <t xml:space="preserve">Kab. Sinjai </t>
  </si>
  <si>
    <t xml:space="preserve">Kab. Bulukumba </t>
  </si>
  <si>
    <t xml:space="preserve">Kab. Bantaeng </t>
  </si>
  <si>
    <t xml:space="preserve">Kab. Jeneponto </t>
  </si>
  <si>
    <t xml:space="preserve">Kab. Selayar </t>
  </si>
  <si>
    <t xml:space="preserve">Kab. Takalar </t>
  </si>
  <si>
    <t xml:space="preserve">Kab. Barru </t>
  </si>
  <si>
    <t xml:space="preserve">Kab. Sidenreng Rappang </t>
  </si>
  <si>
    <t xml:space="preserve">Kab. Pangkajene Kepulauan </t>
  </si>
  <si>
    <t>Kab. Soppeng (d/h Watansoppeng)</t>
  </si>
  <si>
    <t xml:space="preserve">Kab. Polewali  </t>
  </si>
  <si>
    <t xml:space="preserve">Kab. Enrekang </t>
  </si>
  <si>
    <t>Kab. Luwu Timur (d/h Luwu Selatan)</t>
  </si>
  <si>
    <t xml:space="preserve">Kab. Luwu Utara  </t>
  </si>
  <si>
    <t>Kota Makassar</t>
  </si>
  <si>
    <t xml:space="preserve">Kota Pare-Pare </t>
  </si>
  <si>
    <t>Kota Palopo</t>
  </si>
  <si>
    <t>Kota Watampone</t>
  </si>
  <si>
    <t>Kab./Kota Lainnya di Sulsel</t>
  </si>
  <si>
    <t>Kepala Daerah Provinsi Sulawesi Utara</t>
  </si>
  <si>
    <t xml:space="preserve">Kab. Minahasa </t>
  </si>
  <si>
    <t xml:space="preserve">Kab. Bolaang Mongondow </t>
  </si>
  <si>
    <t xml:space="preserve">Kab. Kepulauan Sangihe </t>
  </si>
  <si>
    <t xml:space="preserve">Kab. kepulauan Talaud </t>
  </si>
  <si>
    <t xml:space="preserve">Kab. Minahasa Selatan </t>
  </si>
  <si>
    <t>Kab. Minahasa Utara</t>
  </si>
  <si>
    <t>Kab. Talaud</t>
  </si>
  <si>
    <t xml:space="preserve">Kota Manado </t>
  </si>
  <si>
    <t xml:space="preserve">Kota Bitung </t>
  </si>
  <si>
    <t>Kota. Tomohon</t>
  </si>
  <si>
    <t>Kab./Kota Lainnya di Sulut</t>
  </si>
  <si>
    <t xml:space="preserve">Kab. Gorontalo </t>
  </si>
  <si>
    <t xml:space="preserve">Kab. Bualemo   </t>
  </si>
  <si>
    <t>Kab. Bonebolango</t>
  </si>
  <si>
    <t>Kab. Pohuwato</t>
  </si>
  <si>
    <t xml:space="preserve">Kota Gorontalo </t>
  </si>
  <si>
    <t>Kab./Kota Lainnya di Gorontalo</t>
  </si>
  <si>
    <t>Kab. Polewali Mandar</t>
  </si>
  <si>
    <t xml:space="preserve">Kab. Majene </t>
  </si>
  <si>
    <t xml:space="preserve">Kab. Mamasa </t>
  </si>
  <si>
    <t>Kab. Mamuju Utara</t>
  </si>
  <si>
    <t>Kota Mamuju</t>
  </si>
  <si>
    <t>Kab./Kota Lainnya di Sulbar</t>
  </si>
  <si>
    <t xml:space="preserve">Kab. Bekasi </t>
  </si>
  <si>
    <t xml:space="preserve">Kab. Purwakarta </t>
  </si>
  <si>
    <t>Kab. Karawang</t>
  </si>
  <si>
    <t xml:space="preserve">Kab. Bogor </t>
  </si>
  <si>
    <t xml:space="preserve">Kab. Sukabumi </t>
  </si>
  <si>
    <t xml:space="preserve">Kab. Cianjur </t>
  </si>
  <si>
    <t xml:space="preserve">Kab. Bandung </t>
  </si>
  <si>
    <t>Kab. Sumedang</t>
  </si>
  <si>
    <t>Kab. Tasikmalaya</t>
  </si>
  <si>
    <t xml:space="preserve">Kab. Garut </t>
  </si>
  <si>
    <t xml:space="preserve">Kab. Ciamis </t>
  </si>
  <si>
    <t xml:space="preserve">Kab. Cirebon </t>
  </si>
  <si>
    <t xml:space="preserve">Kab. Kuningan </t>
  </si>
  <si>
    <t xml:space="preserve">Kab. Indramayu </t>
  </si>
  <si>
    <t xml:space="preserve">Kab. Majalengka </t>
  </si>
  <si>
    <t xml:space="preserve">Kab. Subang </t>
  </si>
  <si>
    <t xml:space="preserve">Kota Bandung </t>
  </si>
  <si>
    <t xml:space="preserve">Kota Bogor </t>
  </si>
  <si>
    <t xml:space="preserve">Kota Sukabumi </t>
  </si>
  <si>
    <t xml:space="preserve">Kota Cirebon </t>
  </si>
  <si>
    <t xml:space="preserve">Kota Tasikmalaya </t>
  </si>
  <si>
    <t xml:space="preserve">Kota Cimahi </t>
  </si>
  <si>
    <t xml:space="preserve">Kota Depok </t>
  </si>
  <si>
    <t xml:space="preserve">Kota Bekasi </t>
  </si>
  <si>
    <t>Kota Banjar</t>
  </si>
  <si>
    <t>Kab./Kota Lainnya di Jabar</t>
  </si>
  <si>
    <t xml:space="preserve">Kab. Lebak </t>
  </si>
  <si>
    <t xml:space="preserve">Kab. Pandeglang </t>
  </si>
  <si>
    <t xml:space="preserve">Kab. Serang   </t>
  </si>
  <si>
    <t xml:space="preserve">Kab. Tangerang </t>
  </si>
  <si>
    <t>Kota Cilegon</t>
  </si>
  <si>
    <t xml:space="preserve">Kota Tangerang </t>
  </si>
  <si>
    <t>Kab./Kota Lainnya di Banten</t>
  </si>
  <si>
    <t xml:space="preserve">Wil. Kota Jakarta Pusat </t>
  </si>
  <si>
    <t xml:space="preserve">Wil. Kota Jakarta Utara </t>
  </si>
  <si>
    <t xml:space="preserve">Wil. Kota Jakarta Barat </t>
  </si>
  <si>
    <t>Wil. Kota Jakarta Selatan</t>
  </si>
  <si>
    <t xml:space="preserve">Wil. Kota Jakarta Timur </t>
  </si>
  <si>
    <t>Wil. Kepulauan Seribu</t>
  </si>
  <si>
    <t>Kab. Bantul</t>
  </si>
  <si>
    <t xml:space="preserve">Kab. Sleman </t>
  </si>
  <si>
    <t xml:space="preserve">Kab. Gunung Kidul </t>
  </si>
  <si>
    <t xml:space="preserve">Kab. Kulon Progo </t>
  </si>
  <si>
    <t>Kota Yogyakarta</t>
  </si>
  <si>
    <t>Kab./Kota Lainnya</t>
  </si>
  <si>
    <t>Kab. Semarang</t>
  </si>
  <si>
    <t xml:space="preserve">Kab. Kendal </t>
  </si>
  <si>
    <t xml:space="preserve">Kab. Demak </t>
  </si>
  <si>
    <t xml:space="preserve">Kab. Grobogan </t>
  </si>
  <si>
    <t xml:space="preserve">Kab. Pekalongan </t>
  </si>
  <si>
    <t xml:space="preserve">Kab. Tegal </t>
  </si>
  <si>
    <t xml:space="preserve">Kab. Brebes </t>
  </si>
  <si>
    <t xml:space="preserve">Kab. Pati </t>
  </si>
  <si>
    <t xml:space="preserve">Kab. Kudus </t>
  </si>
  <si>
    <t xml:space="preserve">Kab. Pemalang </t>
  </si>
  <si>
    <t xml:space="preserve">Kab. Jepara </t>
  </si>
  <si>
    <t xml:space="preserve">Kab. Rembang </t>
  </si>
  <si>
    <t xml:space="preserve">Kab. Blora </t>
  </si>
  <si>
    <t xml:space="preserve">Kab. Banyumas </t>
  </si>
  <si>
    <t xml:space="preserve">Kab. Cilacap </t>
  </si>
  <si>
    <t xml:space="preserve">Kab. Purbalingga </t>
  </si>
  <si>
    <t xml:space="preserve">Kab. Banjarnegara </t>
  </si>
  <si>
    <t xml:space="preserve">Kab. Magelang </t>
  </si>
  <si>
    <t xml:space="preserve">Kab. Temanggung </t>
  </si>
  <si>
    <t xml:space="preserve">Kab. Wonosobo </t>
  </si>
  <si>
    <t xml:space="preserve">Kab. Purworejo </t>
  </si>
  <si>
    <t xml:space="preserve">Kab. Kebumen </t>
  </si>
  <si>
    <t xml:space="preserve">Kab. Klaten </t>
  </si>
  <si>
    <t xml:space="preserve">Kab. Boyolali </t>
  </si>
  <si>
    <t xml:space="preserve">Kab. Sragen </t>
  </si>
  <si>
    <t xml:space="preserve">Kab. Sukoharjo </t>
  </si>
  <si>
    <t xml:space="preserve">Kab. Karanganyar </t>
  </si>
  <si>
    <t xml:space="preserve">Kab. Wonogiri </t>
  </si>
  <si>
    <t xml:space="preserve">Kab. Batang </t>
  </si>
  <si>
    <t xml:space="preserve">Kota Semarang </t>
  </si>
  <si>
    <t xml:space="preserve">Kota Salatiga </t>
  </si>
  <si>
    <t xml:space="preserve">Kota Pekalongan </t>
  </si>
  <si>
    <t xml:space="preserve">Kota Tegal </t>
  </si>
  <si>
    <t xml:space="preserve">Kota Magelang </t>
  </si>
  <si>
    <t xml:space="preserve">Kota Surakarta/Solo </t>
  </si>
  <si>
    <t>Kotif Klaten</t>
  </si>
  <si>
    <t>Kotif Cilacap</t>
  </si>
  <si>
    <t>Kotif Purwokerto</t>
  </si>
  <si>
    <t>Kab./Kota Lainnya Jateng</t>
  </si>
  <si>
    <t>Kab. Gresik</t>
  </si>
  <si>
    <t xml:space="preserve">Kab. Sidoarjo </t>
  </si>
  <si>
    <t xml:space="preserve">Kab. Mojokerto </t>
  </si>
  <si>
    <t xml:space="preserve">Kab. Jombang </t>
  </si>
  <si>
    <t xml:space="preserve">Kab. Sampang </t>
  </si>
  <si>
    <t xml:space="preserve">Kab. Pamekasan </t>
  </si>
  <si>
    <t xml:space="preserve">Kab. Sumenep </t>
  </si>
  <si>
    <t xml:space="preserve">Kab. Bangkalan </t>
  </si>
  <si>
    <t xml:space="preserve">Kab. Bondowoso </t>
  </si>
  <si>
    <t xml:space="preserve">Kab. Banyuwangi </t>
  </si>
  <si>
    <t>Kab. Jember</t>
  </si>
  <si>
    <t xml:space="preserve">Kab. Malang </t>
  </si>
  <si>
    <t xml:space="preserve">Kab. Pasuruan </t>
  </si>
  <si>
    <t xml:space="preserve">Kab. Probolinggo </t>
  </si>
  <si>
    <t xml:space="preserve">Kab. Lumajang </t>
  </si>
  <si>
    <t xml:space="preserve">Kab. Kediri </t>
  </si>
  <si>
    <t xml:space="preserve">Kab. Nganjuk </t>
  </si>
  <si>
    <t xml:space="preserve">Kab. Tulungagung </t>
  </si>
  <si>
    <t xml:space="preserve">Kab. Trenggalek </t>
  </si>
  <si>
    <t xml:space="preserve">Kab. Blitar </t>
  </si>
  <si>
    <t xml:space="preserve">Kab. Madiun </t>
  </si>
  <si>
    <t xml:space="preserve">Kab. Ngawi </t>
  </si>
  <si>
    <t xml:space="preserve">Kab. Magetan </t>
  </si>
  <si>
    <t xml:space="preserve">Kab. Ponorogo </t>
  </si>
  <si>
    <t xml:space="preserve">Kab. Pacitan </t>
  </si>
  <si>
    <t xml:space="preserve">Kab. Bojonegoro </t>
  </si>
  <si>
    <t xml:space="preserve">Kab. Tuban </t>
  </si>
  <si>
    <t xml:space="preserve">Kab. Lamongan </t>
  </si>
  <si>
    <t xml:space="preserve">Kab. Situbondo </t>
  </si>
  <si>
    <t xml:space="preserve">Kota Surabaya </t>
  </si>
  <si>
    <t xml:space="preserve">Kota Mojokerto </t>
  </si>
  <si>
    <t xml:space="preserve">Kota Malang </t>
  </si>
  <si>
    <t xml:space="preserve">Kota Pasuruan </t>
  </si>
  <si>
    <t xml:space="preserve">Kota Probolinggo </t>
  </si>
  <si>
    <t xml:space="preserve">Kota Blitar </t>
  </si>
  <si>
    <t xml:space="preserve">Kota Kediri </t>
  </si>
  <si>
    <t xml:space="preserve">Kota Madiun </t>
  </si>
  <si>
    <t>Kota Jember</t>
  </si>
  <si>
    <t>Kota Batu</t>
  </si>
  <si>
    <t>Kab./Kota Lainnya di Jatim</t>
  </si>
  <si>
    <t>Kab. Bengkulu Selatan</t>
  </si>
  <si>
    <t xml:space="preserve">Kab. Bengkulu Utara </t>
  </si>
  <si>
    <t xml:space="preserve">Kab. Rejang Lebong </t>
  </si>
  <si>
    <t>Kab. Lebong</t>
  </si>
  <si>
    <t>Kab. Kepahiang</t>
  </si>
  <si>
    <t>Kab. Mukomuko</t>
  </si>
  <si>
    <t>Kab. Seluma</t>
  </si>
  <si>
    <t>Kab. Kaur</t>
  </si>
  <si>
    <t xml:space="preserve">Kota Bengkulu </t>
  </si>
  <si>
    <t>Kab./Kota Lainnya di Bengkulu</t>
  </si>
  <si>
    <t xml:space="preserve">Kab. Batanghari </t>
  </si>
  <si>
    <t>Kab. Sarolangun</t>
  </si>
  <si>
    <t xml:space="preserve">Kab. Kerinci </t>
  </si>
  <si>
    <t xml:space="preserve">Kab. Muaro Jambi   </t>
  </si>
  <si>
    <t xml:space="preserve">Kab. Tanjung Jabung Barat      </t>
  </si>
  <si>
    <t xml:space="preserve">Kab. Tanjung Jabung Timur     </t>
  </si>
  <si>
    <t xml:space="preserve">Kab. Tebo  </t>
  </si>
  <si>
    <t xml:space="preserve">Kab. Muara Bungo    </t>
  </si>
  <si>
    <t xml:space="preserve">Kab. Merangin   </t>
  </si>
  <si>
    <t>Kab. Bungo</t>
  </si>
  <si>
    <t>Kab. Bandung Barat</t>
  </si>
  <si>
    <t>Kota Serang</t>
  </si>
  <si>
    <t>Kab. Pidie Jaya</t>
  </si>
  <si>
    <t>Kab. Subulussalam</t>
  </si>
  <si>
    <t>Kab. Angkola Sipirok</t>
  </si>
  <si>
    <t>Kab. Batu Bara</t>
  </si>
  <si>
    <t>Kab. Padang Lawas</t>
  </si>
  <si>
    <t>Kab. Padang Lawas Utara</t>
  </si>
  <si>
    <t>Kab. Solok</t>
  </si>
  <si>
    <t>Kab. Empat Lawang</t>
  </si>
  <si>
    <t>Kab. Pesawaran</t>
  </si>
  <si>
    <t>Kab. Kayong Utara</t>
  </si>
  <si>
    <t>Kab. Kubu Raya</t>
  </si>
  <si>
    <t>Kab. Tana Tidung</t>
  </si>
  <si>
    <t>Kab. Parigi Moutong</t>
  </si>
  <si>
    <t>Kab. Minahasa Tenggara</t>
  </si>
  <si>
    <t>Kab. Bolaang Mongondow Utara</t>
  </si>
  <si>
    <t>Kab. Kepulauan Sitaro</t>
  </si>
  <si>
    <t>Kota Kotamobagu</t>
  </si>
  <si>
    <t>Kab. Gorontalo Utara</t>
  </si>
  <si>
    <t>Kab. Buton Utara</t>
  </si>
  <si>
    <t>Kab. Konawe Utara</t>
  </si>
  <si>
    <t>Kab. Sumba Tengah</t>
  </si>
  <si>
    <t>Kab. Sumba Barat Daya</t>
  </si>
  <si>
    <t>Kab. Manggarai Timur</t>
  </si>
  <si>
    <t>Kab. Nagekeo</t>
  </si>
  <si>
    <t>Kota Tual</t>
  </si>
  <si>
    <t>Kab. Mamberamo Raya</t>
  </si>
  <si>
    <t>Kab. Dogiyai</t>
  </si>
  <si>
    <t>Kab. Lanny Jaya</t>
  </si>
  <si>
    <t>Kab. Mamberamo Tengah</t>
  </si>
  <si>
    <t>Kab. Nduga Tengah</t>
  </si>
  <si>
    <t>Kab. Yalimo</t>
  </si>
  <si>
    <t>Kab. Puncak</t>
  </si>
  <si>
    <t xml:space="preserve">Kota Jambi </t>
  </si>
  <si>
    <t>Kab./Kota Lainnya di Jambi</t>
  </si>
  <si>
    <t xml:space="preserve">Kab. Aceh Besar </t>
  </si>
  <si>
    <t xml:space="preserve">Kab. Pidie </t>
  </si>
  <si>
    <t xml:space="preserve">Kab. Aceh Utara </t>
  </si>
  <si>
    <t xml:space="preserve">Kab. Aceh Timur </t>
  </si>
  <si>
    <t xml:space="preserve">Kab. Aceh Selatan </t>
  </si>
  <si>
    <t xml:space="preserve">Kab. Aceh Barat </t>
  </si>
  <si>
    <t xml:space="preserve">Kab. Aceh Tengah </t>
  </si>
  <si>
    <t xml:space="preserve">Kab. Aceh Tenggara </t>
  </si>
  <si>
    <t xml:space="preserve">Kab. Aceh Singkil     </t>
  </si>
  <si>
    <t>Kab. Aceh Jeumpa/Bireuen</t>
  </si>
  <si>
    <t>Kab. Aceh Tamiang</t>
  </si>
  <si>
    <t>Kab. Gayo Luwes</t>
  </si>
  <si>
    <t>Kab. Aceh Barat Daya</t>
  </si>
  <si>
    <t>Kab. Aceh Jaya</t>
  </si>
  <si>
    <t>Kab. Nagan Raya</t>
  </si>
  <si>
    <t>Kab. Aceh Simeuleu</t>
  </si>
  <si>
    <t>Kab. Bener Meriah</t>
  </si>
  <si>
    <t xml:space="preserve">Kota Banda Aceh </t>
  </si>
  <si>
    <t>Kota Sabang</t>
  </si>
  <si>
    <t xml:space="preserve">Kota Lhokseumawe </t>
  </si>
  <si>
    <t xml:space="preserve">Kota Langsa   </t>
  </si>
  <si>
    <t>Kota Simeulue</t>
  </si>
  <si>
    <t>Kabupaten</t>
  </si>
  <si>
    <t>Jangka Waktu</t>
  </si>
  <si>
    <t>Sektor Institusi</t>
  </si>
  <si>
    <t>Jenis Produk Asuransi</t>
  </si>
  <si>
    <t>Variable Pokok</t>
  </si>
  <si>
    <t>Persentase</t>
  </si>
  <si>
    <t>&gt;10%</t>
  </si>
  <si>
    <t>&lt;10%</t>
  </si>
  <si>
    <t>* Transaksi Penambahan Surat Berharga</t>
  </si>
  <si>
    <t>* Transaksi Pengurangan Surat Berharga</t>
  </si>
  <si>
    <t>* Transaksi Penambahan Piutang Bunga/Dividen</t>
  </si>
  <si>
    <t>* Transaksi Pengurangan Piutang Bunga/Dividen</t>
  </si>
  <si>
    <t>* Perubahan/Koreksi Surat Berharga (Dr)</t>
  </si>
  <si>
    <t>* Perubahan/Koreksi Surat Berharga (Cr)</t>
  </si>
  <si>
    <t>* Perubahan/Koreksi Piutang Bunga/Dividen (Dr)</t>
  </si>
  <si>
    <t>* Perubahan/Koreksi Piutang Bunga/Dividen (Cr)</t>
  </si>
  <si>
    <t>Jenis SB</t>
  </si>
  <si>
    <t>Jenis Form Transaksi</t>
  </si>
  <si>
    <t>Transaksi Piutang Bunga/Dividen</t>
  </si>
  <si>
    <t>Transaksi Surat Berharga</t>
  </si>
  <si>
    <t>Jenis Penyertaan</t>
  </si>
  <si>
    <t>:Transaksi Penyertaan</t>
  </si>
  <si>
    <t>:Transaksi Piutang Dividen</t>
  </si>
  <si>
    <t>:Transaksi Laba Ditahan</t>
  </si>
  <si>
    <t>(cth penambah)</t>
  </si>
  <si>
    <t>(cth pengurang)</t>
  </si>
  <si>
    <t>(cth koreksi penambah)</t>
  </si>
  <si>
    <t>(cth koreksi pengurang)</t>
  </si>
  <si>
    <t>Jenis Tagihan</t>
  </si>
  <si>
    <t>Jenis Pasar</t>
  </si>
  <si>
    <t>Golongan Pemilik</t>
  </si>
  <si>
    <t>BUMN</t>
  </si>
  <si>
    <t>BUMD</t>
  </si>
  <si>
    <t>BUMS Swasta-Nasional</t>
  </si>
  <si>
    <t>BUMS Swasta campuran</t>
  </si>
  <si>
    <t>BUMS Swasta Asing</t>
  </si>
  <si>
    <t>Koperasi</t>
  </si>
  <si>
    <t>Yayasan</t>
  </si>
  <si>
    <t>Perorangan</t>
  </si>
  <si>
    <t>Status Kepemilikan Lainnya</t>
  </si>
  <si>
    <t>SPV</t>
  </si>
  <si>
    <t>Non SPV</t>
  </si>
  <si>
    <t>Perusahaan dalam satu grup (fellow subsidiaries)</t>
  </si>
  <si>
    <t>Non-afiliasi</t>
  </si>
  <si>
    <t>Pemerintah</t>
  </si>
  <si>
    <t>Bank Sentral</t>
  </si>
  <si>
    <t>Bank</t>
  </si>
  <si>
    <t>Asuransi dan Dana Pensiun</t>
  </si>
  <si>
    <t>Lembaga Keuangan Bukan Bank Lainnya</t>
  </si>
  <si>
    <t>Perusahaan Bukan Lembaga Keuangan</t>
  </si>
  <si>
    <t>Lainnya</t>
  </si>
  <si>
    <t>Lebih dari satu tahun</t>
  </si>
  <si>
    <t>Kurang dari 1 tahun</t>
  </si>
  <si>
    <r>
      <t xml:space="preserve">  jika kepemilikan saham </t>
    </r>
    <r>
      <rPr>
        <u/>
        <sz val="11"/>
        <rFont val="Frutiger 45 Light"/>
        <family val="3"/>
      </rPr>
      <t>&gt;</t>
    </r>
    <r>
      <rPr>
        <sz val="11"/>
        <rFont val="Frutiger 45 Light"/>
        <family val="3"/>
      </rPr>
      <t xml:space="preserve"> 10%  dari total modal perusahaan investee di luar negeri</t>
    </r>
  </si>
  <si>
    <t xml:space="preserve">  jika kepemilikan saham &lt; 10% dari total modal perusahaan investee di luar negeri</t>
  </si>
  <si>
    <t>Primer</t>
  </si>
  <si>
    <t>Sekunder Reguler</t>
  </si>
  <si>
    <t>Sekunder Non Reguler crossing</t>
  </si>
  <si>
    <t>Sekunder Non Reguler non crossing</t>
  </si>
  <si>
    <t>Bank Indonesia</t>
  </si>
  <si>
    <t>Pemerintahan Pusat</t>
  </si>
  <si>
    <t>Bank Sentral di LN</t>
  </si>
  <si>
    <t>Bank Umum Di Indonesia</t>
  </si>
  <si>
    <t>Bank Umum di LN</t>
  </si>
  <si>
    <t>Perusahaan Pembiayaan</t>
  </si>
  <si>
    <t>Modal Ventura</t>
  </si>
  <si>
    <t>Sekuritas</t>
  </si>
  <si>
    <t>Asuransi</t>
  </si>
  <si>
    <t>Dana Pensiun</t>
  </si>
  <si>
    <t>Reksadana</t>
  </si>
  <si>
    <t>BUMN-non lembaga keuangan</t>
  </si>
  <si>
    <t>Perusahaan- Lainnya</t>
  </si>
  <si>
    <t>Asing</t>
  </si>
  <si>
    <t>Discretionary Funds</t>
  </si>
  <si>
    <t>Sandi Jenis Surat Berharga</t>
  </si>
  <si>
    <t>UKA</t>
  </si>
  <si>
    <t>Saham Listed</t>
  </si>
  <si>
    <t>Saham Unlisted</t>
  </si>
  <si>
    <t>Saham Lainnya (termasuk saham repo)</t>
  </si>
  <si>
    <t>Money market fund shares/units</t>
  </si>
  <si>
    <t>Other investment fund shares/units</t>
  </si>
  <si>
    <t>Promissory Notes</t>
  </si>
  <si>
    <t>Commercial Papers</t>
  </si>
  <si>
    <t>T-Bills / T-Notes</t>
  </si>
  <si>
    <t>Banker's Acceptance</t>
  </si>
  <si>
    <t>Obligasi / Bonds</t>
  </si>
  <si>
    <t>Floating Rate Notes / FRN</t>
  </si>
  <si>
    <t>Medium Term Notes / MTN</t>
  </si>
  <si>
    <t>Surat Utang Repo</t>
  </si>
  <si>
    <t>Surat Utang Lainnya</t>
  </si>
  <si>
    <t>Certificate of Deposit</t>
  </si>
  <si>
    <t>Negotiable Certificate Deposit</t>
  </si>
  <si>
    <t>Floating Rate Certificate of Deposit</t>
  </si>
  <si>
    <t>Asset Backed Securities</t>
  </si>
  <si>
    <t>Surat Berharga Lainnya</t>
  </si>
  <si>
    <t>Aset Komitment</t>
  </si>
  <si>
    <t>Kewajiban Komitment</t>
  </si>
  <si>
    <t>Aset Kontigensi</t>
  </si>
  <si>
    <t>Kewajiban Kontijensi</t>
  </si>
  <si>
    <t>Nomor Form :</t>
  </si>
  <si>
    <t>Jenis Periode :</t>
  </si>
  <si>
    <t>Valuta (Currency)</t>
  </si>
  <si>
    <t>Suku  bunga</t>
  </si>
  <si>
    <t>Valuta dan Suku Bunga</t>
  </si>
  <si>
    <t>Komoditas</t>
  </si>
  <si>
    <t>Ekuitas</t>
  </si>
  <si>
    <t xml:space="preserve"> &gt;= 1 tahun</t>
  </si>
  <si>
    <t>&lt; 1 tahun</t>
  </si>
  <si>
    <t>[Delete]</t>
  </si>
  <si>
    <t>penambahan piutang</t>
  </si>
  <si>
    <t>pengurangan piutang</t>
  </si>
  <si>
    <t>koreksi penambahan</t>
  </si>
  <si>
    <t>koreksi pengurangan</t>
  </si>
  <si>
    <t>mutasi lainnya</t>
  </si>
  <si>
    <t>0001</t>
  </si>
  <si>
    <t>0002</t>
  </si>
  <si>
    <t>0003</t>
  </si>
  <si>
    <t>0004</t>
  </si>
  <si>
    <t>1-UKA</t>
  </si>
  <si>
    <t>2-TC</t>
  </si>
  <si>
    <t>10-BUMN</t>
  </si>
  <si>
    <t>20-BUMD</t>
  </si>
  <si>
    <t>40-BUMS Swasta-Nasional</t>
  </si>
  <si>
    <t>50-BUMS Swasta campuran</t>
  </si>
  <si>
    <t>30-BUMS Swasta Asing</t>
  </si>
  <si>
    <t>70-Koperasi</t>
  </si>
  <si>
    <t>80-Yayasan</t>
  </si>
  <si>
    <t>90-Perorangan</t>
  </si>
  <si>
    <t>60-Status Kepemilikan Lainnya</t>
  </si>
  <si>
    <t>9000-Pemerintah</t>
  </si>
  <si>
    <t>9100-Bank Sentral</t>
  </si>
  <si>
    <t>9200-Bank</t>
  </si>
  <si>
    <t>9300-Asuransi dan Dana Pensiun</t>
  </si>
  <si>
    <t>9400-Lembaga Keuangan Bukan Bank Lainnya</t>
  </si>
  <si>
    <t>9500-Perusahaan Bukan Lembaga Keuangan</t>
  </si>
  <si>
    <t>9600-Lembaga Internasional</t>
  </si>
  <si>
    <t>9900-Lainnya</t>
  </si>
  <si>
    <t>1_&gt;= 1 tahun</t>
  </si>
  <si>
    <t>2_&lt; 1 tahun</t>
  </si>
  <si>
    <t>1-Aset Komitment</t>
  </si>
  <si>
    <t>2-Kewajiban Komitment</t>
  </si>
  <si>
    <t>3-Aset Kontigensi</t>
  </si>
  <si>
    <t>4-Kewajiban Kontijensi</t>
  </si>
  <si>
    <t>1-Valuta (Currency)</t>
  </si>
  <si>
    <t>2-Suku  bunga</t>
  </si>
  <si>
    <t>3-Valuta dan Suku Bunga</t>
  </si>
  <si>
    <t>4-Komoditas</t>
  </si>
  <si>
    <t>5-Ekuitas</t>
  </si>
  <si>
    <t>6-Lainnya</t>
  </si>
  <si>
    <t>1-Primer</t>
  </si>
  <si>
    <t>2-Sekunder Reguler</t>
  </si>
  <si>
    <t>3-Sekunder Non Reguler crossing</t>
  </si>
  <si>
    <t>4-Sekunder Non Reguler non crossing</t>
  </si>
  <si>
    <t>CG-Congo</t>
  </si>
  <si>
    <t>CL-Chile</t>
  </si>
  <si>
    <t>CM-Cameroon</t>
  </si>
  <si>
    <t>DM-Dominica</t>
  </si>
  <si>
    <t>LC-Saint Lucia</t>
  </si>
  <si>
    <t>MP-Northern Mariana Islands</t>
  </si>
  <si>
    <t>TD-Chad</t>
  </si>
  <si>
    <t>TK-Tokelau</t>
  </si>
  <si>
    <t>0100-Jawa Barat</t>
  </si>
  <si>
    <t>0200-Banten</t>
  </si>
  <si>
    <t>0300-DKI Jakarta</t>
  </si>
  <si>
    <t>0500-D.I Yogyakarta</t>
  </si>
  <si>
    <t>0900-Jawa Tengah</t>
  </si>
  <si>
    <t>1200-Jawa Timur</t>
  </si>
  <si>
    <t>2300-Bengkulu</t>
  </si>
  <si>
    <t>3100-Jambi</t>
  </si>
  <si>
    <t>3200-Nanggroe Aceh Darussalam</t>
  </si>
  <si>
    <t>3300-Sumatra Utara</t>
  </si>
  <si>
    <t>3400-Sumatra Barat</t>
  </si>
  <si>
    <t>3500-Riau</t>
  </si>
  <si>
    <t>3600-Sumatra Selatan</t>
  </si>
  <si>
    <t>3700-Bangka Belitung</t>
  </si>
  <si>
    <t>3900-Lampung</t>
  </si>
  <si>
    <t>5100-Kalimantan Selatan</t>
  </si>
  <si>
    <t>5300-Kalimantan Barat</t>
  </si>
  <si>
    <t>5400-Kalimantan Timur</t>
  </si>
  <si>
    <t>5800-Kalimantan Tengah</t>
  </si>
  <si>
    <t>6000-Sulawesi Tengah</t>
  </si>
  <si>
    <t>6100-Sulawesi Selatan</t>
  </si>
  <si>
    <t>6300-Gorontalo</t>
  </si>
  <si>
    <t>6400-Sulawesi Barat</t>
  </si>
  <si>
    <t>6900-Sulawesi Tenggara</t>
  </si>
  <si>
    <t>7100-Nusa Tenggara</t>
  </si>
  <si>
    <t>7200-Bali</t>
  </si>
  <si>
    <t>7400-Nusa Tenggara Timur</t>
  </si>
  <si>
    <t>8100-Maluku</t>
  </si>
  <si>
    <t>8200-Papua</t>
  </si>
  <si>
    <t>8300-Maluku Utara</t>
  </si>
  <si>
    <t>9999-Di Luar Indonesia</t>
  </si>
  <si>
    <t xml:space="preserve">0102-Kab. Bekasi </t>
  </si>
  <si>
    <t xml:space="preserve">0103-Kab. Purwakarta </t>
  </si>
  <si>
    <t>0106-Kab. Karawang</t>
  </si>
  <si>
    <t xml:space="preserve">0108-Kab. Bogor </t>
  </si>
  <si>
    <t xml:space="preserve">0109-Kab. Sukabumi </t>
  </si>
  <si>
    <t xml:space="preserve">0110-Kab. Cianjur </t>
  </si>
  <si>
    <t xml:space="preserve">0111-Kab. Bandung </t>
  </si>
  <si>
    <t>0112-Kab. Sumedang</t>
  </si>
  <si>
    <t>0113-Kab. Tasikmalaya</t>
  </si>
  <si>
    <t xml:space="preserve">0114-Kab. Garut </t>
  </si>
  <si>
    <t xml:space="preserve">0115-Kab. Ciamis </t>
  </si>
  <si>
    <t xml:space="preserve">0116-Kab. Cirebon </t>
  </si>
  <si>
    <t xml:space="preserve">0117-Kab. Kuningan </t>
  </si>
  <si>
    <t xml:space="preserve">0118-Kab. Indramayu </t>
  </si>
  <si>
    <t xml:space="preserve">0119-Kab. Majalengka </t>
  </si>
  <si>
    <t xml:space="preserve">0121-Kab. Subang </t>
  </si>
  <si>
    <t>0122-Kab. Bandung Barat</t>
  </si>
  <si>
    <t>0180-Kota Banjar</t>
  </si>
  <si>
    <t>0188-Kab./Kota Lainnya di Jabar</t>
  </si>
  <si>
    <t xml:space="preserve">0191-Kota Bandung </t>
  </si>
  <si>
    <t xml:space="preserve">0192-Kota Bogor </t>
  </si>
  <si>
    <t xml:space="preserve">0193-Kota Sukabumi </t>
  </si>
  <si>
    <t xml:space="preserve">0194-Kota Cirebon </t>
  </si>
  <si>
    <t xml:space="preserve">0195-Kota Tasikmalaya </t>
  </si>
  <si>
    <t xml:space="preserve">0196-Kota Cimahi </t>
  </si>
  <si>
    <t xml:space="preserve">0197-Kota Depok </t>
  </si>
  <si>
    <t xml:space="preserve">0198-Kota Bekasi </t>
  </si>
  <si>
    <t xml:space="preserve">0201-Kab. Lebak </t>
  </si>
  <si>
    <t xml:space="preserve">0202-Kab. Pandeglang </t>
  </si>
  <si>
    <t xml:space="preserve">0203-Kab. Serang   </t>
  </si>
  <si>
    <t xml:space="preserve">0204-Kab. Tangerang </t>
  </si>
  <si>
    <t>0288-Kab./Kota Lainnya di Banten</t>
  </si>
  <si>
    <t>0291-Kota Cilegon</t>
  </si>
  <si>
    <t xml:space="preserve">0292-Kota Tangerang </t>
  </si>
  <si>
    <t>0293-Kota Serang</t>
  </si>
  <si>
    <t xml:space="preserve">0391-Wil. Kota Jakarta Pusat </t>
  </si>
  <si>
    <t xml:space="preserve">0392-Wil. Kota Jakarta Utara </t>
  </si>
  <si>
    <t xml:space="preserve">0393-Wil. Kota Jakarta Barat </t>
  </si>
  <si>
    <t>0394-Wil. Kota Jakarta Selatan</t>
  </si>
  <si>
    <t xml:space="preserve">0395-Wil. Kota Jakarta Timur </t>
  </si>
  <si>
    <t>0396-Wil. Kepulauan Seribu</t>
  </si>
  <si>
    <t>0501-Kab. Bantul</t>
  </si>
  <si>
    <t xml:space="preserve">0502-Kab. Sleman </t>
  </si>
  <si>
    <t xml:space="preserve">0503-Kab. Gunung Kidul </t>
  </si>
  <si>
    <t xml:space="preserve">0504-Kab. Kulon Progo </t>
  </si>
  <si>
    <t>0588-Kab./Kota Lainnya</t>
  </si>
  <si>
    <t>0591-Kota Yogyakarta</t>
  </si>
  <si>
    <t>0901-Kab. Semarang</t>
  </si>
  <si>
    <t xml:space="preserve">0902-Kab. Kendal </t>
  </si>
  <si>
    <t xml:space="preserve">0903-Kab. Demak </t>
  </si>
  <si>
    <t xml:space="preserve">0904-Kab. Grobogan </t>
  </si>
  <si>
    <t xml:space="preserve">0905-Kab. Pekalongan </t>
  </si>
  <si>
    <t xml:space="preserve">0906-Kab. Tegal </t>
  </si>
  <si>
    <t xml:space="preserve">0907-Kab. Brebes </t>
  </si>
  <si>
    <t xml:space="preserve">0908-Kab. Pati </t>
  </si>
  <si>
    <t xml:space="preserve">0909-Kab. Kudus </t>
  </si>
  <si>
    <t xml:space="preserve">0910-Kab. Pemalang </t>
  </si>
  <si>
    <t xml:space="preserve">0911-Kab. Jepara </t>
  </si>
  <si>
    <t xml:space="preserve">0912-Kab. Rembang </t>
  </si>
  <si>
    <t xml:space="preserve">0913-Kab. Blora </t>
  </si>
  <si>
    <t xml:space="preserve">0914-Kab. Banyumas </t>
  </si>
  <si>
    <t xml:space="preserve">0915-Kab. Cilacap </t>
  </si>
  <si>
    <t xml:space="preserve">0916-Kab. Purbalingga </t>
  </si>
  <si>
    <t xml:space="preserve">0917-Kab. Banjarnegara </t>
  </si>
  <si>
    <t xml:space="preserve">0918-Kab. Magelang </t>
  </si>
  <si>
    <t xml:space="preserve">0919-Kab. Temanggung </t>
  </si>
  <si>
    <t xml:space="preserve">0920-Kab. Wonosobo </t>
  </si>
  <si>
    <t xml:space="preserve">0921-Kab. Purworejo </t>
  </si>
  <si>
    <t xml:space="preserve">0922-Kab. Kebumen </t>
  </si>
  <si>
    <t xml:space="preserve">0923-Kab. Klaten </t>
  </si>
  <si>
    <t xml:space="preserve">0924-Kab. Boyolali </t>
  </si>
  <si>
    <t xml:space="preserve">0925-Kab. Sragen </t>
  </si>
  <si>
    <t xml:space="preserve">0926-Kab. Sukoharjo </t>
  </si>
  <si>
    <t xml:space="preserve">0927-Kab. Karanganyar </t>
  </si>
  <si>
    <t xml:space="preserve">0928-Kab. Wonogiri </t>
  </si>
  <si>
    <t xml:space="preserve">0929-Kab. Batang </t>
  </si>
  <si>
    <t>0988-Kab./Kota Lainnya Jateng</t>
  </si>
  <si>
    <t xml:space="preserve">0991-Kota Semarang </t>
  </si>
  <si>
    <t xml:space="preserve">0992-Kota Salatiga </t>
  </si>
  <si>
    <t xml:space="preserve">0993-Kota Pekalongan </t>
  </si>
  <si>
    <t xml:space="preserve">0994-Kota Tegal </t>
  </si>
  <si>
    <t xml:space="preserve">0995-Kota Magelang </t>
  </si>
  <si>
    <t xml:space="preserve">0996-Kota Surakarta/Solo </t>
  </si>
  <si>
    <t>0997-Kotif Klaten</t>
  </si>
  <si>
    <t>0998-Kotif Cilacap</t>
  </si>
  <si>
    <t>0999-Kotif Purwokerto</t>
  </si>
  <si>
    <t>1201-Kab. Gresik</t>
  </si>
  <si>
    <t xml:space="preserve">1202-Kab. Sidoarjo </t>
  </si>
  <si>
    <t xml:space="preserve">1203-Kab. Mojokerto </t>
  </si>
  <si>
    <t xml:space="preserve">1204-Kab. Jombang </t>
  </si>
  <si>
    <t xml:space="preserve">1205-Kab. Sampang </t>
  </si>
  <si>
    <t xml:space="preserve">1206-Kab. Pamekasan </t>
  </si>
  <si>
    <t xml:space="preserve">1207-Kab. Sumenep </t>
  </si>
  <si>
    <t xml:space="preserve">1208-Kab. Bangkalan </t>
  </si>
  <si>
    <t xml:space="preserve">1209-Kab. Bondowoso </t>
  </si>
  <si>
    <t xml:space="preserve">1211-Kab. Banyuwangi </t>
  </si>
  <si>
    <t>1212-Kab. Jember</t>
  </si>
  <si>
    <t xml:space="preserve">1213-Kab. Malang </t>
  </si>
  <si>
    <t xml:space="preserve">1214-Kab. Pasuruan </t>
  </si>
  <si>
    <t xml:space="preserve">1215-Kab. Probolinggo </t>
  </si>
  <si>
    <t xml:space="preserve">1216-Kab. Lumajang </t>
  </si>
  <si>
    <t xml:space="preserve">1217-Kab. Kediri </t>
  </si>
  <si>
    <t xml:space="preserve">1218-Kab. Nganjuk </t>
  </si>
  <si>
    <t xml:space="preserve">1219-Kab. Tulungagung </t>
  </si>
  <si>
    <t xml:space="preserve">1220-Kab. Trenggalek </t>
  </si>
  <si>
    <t xml:space="preserve">1221-Kab. Blitar </t>
  </si>
  <si>
    <t xml:space="preserve">1222-Kab. Madiun </t>
  </si>
  <si>
    <t xml:space="preserve">1223-Kab. Ngawi </t>
  </si>
  <si>
    <t xml:space="preserve">1224-Kab. Magetan </t>
  </si>
  <si>
    <t xml:space="preserve">1225-Kab. Ponorogo </t>
  </si>
  <si>
    <t xml:space="preserve">1226-Kab. Pacitan </t>
  </si>
  <si>
    <t xml:space="preserve">1227-Kab. Bojonegoro </t>
  </si>
  <si>
    <t xml:space="preserve">1228-Kab. Tuban </t>
  </si>
  <si>
    <t xml:space="preserve">1229-Kab. Lamongan </t>
  </si>
  <si>
    <t xml:space="preserve">1230-Kab. Situbondo </t>
  </si>
  <si>
    <t>1271-Kota Batu</t>
  </si>
  <si>
    <t>1288-Kab./Kota Lainnya di Jatim</t>
  </si>
  <si>
    <t xml:space="preserve">1291-Kota Surabaya </t>
  </si>
  <si>
    <t xml:space="preserve">1292-Kota Mojokerto </t>
  </si>
  <si>
    <t xml:space="preserve">1293-Kota Malang </t>
  </si>
  <si>
    <t xml:space="preserve">1294-Kota Pasuruan </t>
  </si>
  <si>
    <t xml:space="preserve">1295-Kota Probolinggo </t>
  </si>
  <si>
    <t xml:space="preserve">1296-Kota Blitar </t>
  </si>
  <si>
    <t xml:space="preserve">1297-Kota Kediri </t>
  </si>
  <si>
    <t xml:space="preserve">1298-Kota Madiun </t>
  </si>
  <si>
    <t>1299-Kota Jember</t>
  </si>
  <si>
    <t>2301-Kab. Bengkulu Selatan</t>
  </si>
  <si>
    <t xml:space="preserve">2302-Kab. Bengkulu Utara </t>
  </si>
  <si>
    <t xml:space="preserve">2303-Kab. Rejang Lebong </t>
  </si>
  <si>
    <t>2304-Kab. Lebong</t>
  </si>
  <si>
    <t>2305-Kab. Kepahiang</t>
  </si>
  <si>
    <t>2306-Kab. Mukomuko</t>
  </si>
  <si>
    <t>2307-Kab. Seluma</t>
  </si>
  <si>
    <t>2308-Kab. Kaur</t>
  </si>
  <si>
    <t>2388-Kab./Kota Lainnya di Bengkulu</t>
  </si>
  <si>
    <t xml:space="preserve">2391-Kota Bengkulu </t>
  </si>
  <si>
    <t xml:space="preserve">3101-Kab. Batanghari </t>
  </si>
  <si>
    <t>3104-Kab. Sarolangun</t>
  </si>
  <si>
    <t xml:space="preserve">3105-Kab. Kerinci </t>
  </si>
  <si>
    <t xml:space="preserve">3106-Kab. Muaro Jambi   </t>
  </si>
  <si>
    <t xml:space="preserve">3107-Kab. Tanjung Jabung Barat      </t>
  </si>
  <si>
    <t xml:space="preserve">3108-Kab. Tanjung Jabung Timur     </t>
  </si>
  <si>
    <t xml:space="preserve">3109-Kab. Tebo  </t>
  </si>
  <si>
    <t xml:space="preserve">3110-Kab. Muara Bungo    </t>
  </si>
  <si>
    <t xml:space="preserve">3111-Kab. Merangin   </t>
  </si>
  <si>
    <t>3112-Kab. Bungo</t>
  </si>
  <si>
    <t>3188-Kab./Kota Lainnya di Jambi</t>
  </si>
  <si>
    <t xml:space="preserve">3191-Kota Jambi </t>
  </si>
  <si>
    <t xml:space="preserve">3201-Kab. Aceh Besar </t>
  </si>
  <si>
    <t xml:space="preserve">3202-Kab. Pidie </t>
  </si>
  <si>
    <t xml:space="preserve">3203-Kab. Aceh Utara </t>
  </si>
  <si>
    <t xml:space="preserve">3204-Kab. Aceh Timur </t>
  </si>
  <si>
    <t xml:space="preserve">3205-Kab. Aceh Selatan </t>
  </si>
  <si>
    <t xml:space="preserve">3206-Kab. Aceh Barat </t>
  </si>
  <si>
    <t xml:space="preserve">3207-Kab. Aceh Tengah </t>
  </si>
  <si>
    <t xml:space="preserve">3208-Kab. Aceh Tenggara </t>
  </si>
  <si>
    <t xml:space="preserve">3209-Kab. Aceh Singkil     </t>
  </si>
  <si>
    <t>3210-Kab. Aceh Jeumpa/Bireuen</t>
  </si>
  <si>
    <t>3211-Kab. Aceh Tamiang</t>
  </si>
  <si>
    <t>3212-Kab. Gayo Luwes</t>
  </si>
  <si>
    <t>3213-Kab. Aceh Barat Daya</t>
  </si>
  <si>
    <t>3214-Kab. Aceh Jaya</t>
  </si>
  <si>
    <t>3215-Kab. Nagan Raya</t>
  </si>
  <si>
    <t>3216-Kab. Aceh Simeuleu</t>
  </si>
  <si>
    <t>3217-Kab. Bener Meriah</t>
  </si>
  <si>
    <t>3218-Kab. Pidie Jaya</t>
  </si>
  <si>
    <t>3219-Kab. Subulussalam</t>
  </si>
  <si>
    <t>3288-Kab./Kota Lainnya di Aceh</t>
  </si>
  <si>
    <t xml:space="preserve">3291-Kota Banda Aceh </t>
  </si>
  <si>
    <t>3292-Kota Sabang</t>
  </si>
  <si>
    <t xml:space="preserve">3293-Kota Lhokseumawe </t>
  </si>
  <si>
    <t xml:space="preserve">3294-Kota Langsa   </t>
  </si>
  <si>
    <t>3295-Kota Simeulue</t>
  </si>
  <si>
    <t xml:space="preserve">3301-Kab. Deli Serdang </t>
  </si>
  <si>
    <t xml:space="preserve">3302-Kab. Langkat </t>
  </si>
  <si>
    <t xml:space="preserve">3303-Kab.  Karo </t>
  </si>
  <si>
    <t>3304-Kab. Simalungun</t>
  </si>
  <si>
    <t xml:space="preserve">3305-Kab. Labuhan Batu </t>
  </si>
  <si>
    <t xml:space="preserve">3306-Kab. Asahan </t>
  </si>
  <si>
    <t xml:space="preserve">3307-Kab. Dairi </t>
  </si>
  <si>
    <t xml:space="preserve">3308-Kab. Tapanuli Utara </t>
  </si>
  <si>
    <t xml:space="preserve">3309-Kab. Tapanuli Tengah </t>
  </si>
  <si>
    <t xml:space="preserve">3310-Kab. Tapanuli Selatan </t>
  </si>
  <si>
    <t xml:space="preserve">3311-Kab. Nias </t>
  </si>
  <si>
    <t>3312-Kota Rantau Prapat</t>
  </si>
  <si>
    <t xml:space="preserve">3313-Kab. Toba Samosir    </t>
  </si>
  <si>
    <t xml:space="preserve">3314-Kab. Mandailing Natal  </t>
  </si>
  <si>
    <t>3315-Kab. Nias Selatan</t>
  </si>
  <si>
    <t>3316-Kab. Humbang Hasundutan</t>
  </si>
  <si>
    <t>3317-Kab. Pakpak Bharat</t>
  </si>
  <si>
    <t>3318-Kab. Samosir</t>
  </si>
  <si>
    <t>3319-Kab. Serdang Bedagai</t>
  </si>
  <si>
    <t>3320-Kab. Angkola Sipirok</t>
  </si>
  <si>
    <t>3321-Kab. Batu Bara</t>
  </si>
  <si>
    <t>3322-Kab. Padang Lawas</t>
  </si>
  <si>
    <t>3323-Kab. Padang Lawas Utara</t>
  </si>
  <si>
    <t>3388-Kab/Kota Lainnya di Sumut</t>
  </si>
  <si>
    <t xml:space="preserve">3391-Kota Tebing Tinggi </t>
  </si>
  <si>
    <t xml:space="preserve">3392-Kota Binjai </t>
  </si>
  <si>
    <t xml:space="preserve">3393-Kota Pematang Siantar </t>
  </si>
  <si>
    <t xml:space="preserve">3394-Kota Tanjung Balai </t>
  </si>
  <si>
    <t>3395-Kota Sibolga</t>
  </si>
  <si>
    <t xml:space="preserve">3396-Kota Medan </t>
  </si>
  <si>
    <t>3398-Kota Kisaran</t>
  </si>
  <si>
    <t xml:space="preserve">3399-Kota Padang Sidempuan </t>
  </si>
  <si>
    <t xml:space="preserve">3401-Kab. Agam </t>
  </si>
  <si>
    <t xml:space="preserve">3402-Kab. Pasaman </t>
  </si>
  <si>
    <t xml:space="preserve">3403-Kab. Limapuluh Koto </t>
  </si>
  <si>
    <t>3404-Kab. Solok Selatan</t>
  </si>
  <si>
    <t xml:space="preserve">3405-Kab. Padang Pariaman </t>
  </si>
  <si>
    <t xml:space="preserve">3406-Kab. Pesisir Selatan </t>
  </si>
  <si>
    <t xml:space="preserve">3407-Kab. Tanah Datar </t>
  </si>
  <si>
    <t>3408-Kab. Sawahlunto/Sijunjung</t>
  </si>
  <si>
    <t xml:space="preserve">3409-Kab. Kepulauan Mentawai   </t>
  </si>
  <si>
    <t>3410-Kab. Pasaman Barat</t>
  </si>
  <si>
    <t>3411-Kab. Dharmasraya</t>
  </si>
  <si>
    <t>3412-Kab. Solok</t>
  </si>
  <si>
    <t>3488-Kab/Kota Lainnya di Sumbar</t>
  </si>
  <si>
    <t xml:space="preserve">3491-Kota Bukittinggi </t>
  </si>
  <si>
    <t>3492-Kota Padang</t>
  </si>
  <si>
    <t>3493-Kota Sawahlunto</t>
  </si>
  <si>
    <t xml:space="preserve">3494-Kota Padang Panjang </t>
  </si>
  <si>
    <t xml:space="preserve">3495-Kota Solok </t>
  </si>
  <si>
    <t xml:space="preserve">3496-Kota Payakumbuh </t>
  </si>
  <si>
    <t xml:space="preserve">3497-Kota Pariaman </t>
  </si>
  <si>
    <t>3501-Kab. Kampar</t>
  </si>
  <si>
    <t xml:space="preserve">3502-Kab. Bengkalis </t>
  </si>
  <si>
    <t xml:space="preserve">3504-Kab. Indragiri Hulu </t>
  </si>
  <si>
    <t>3505-Kab. Indragiri Hilir</t>
  </si>
  <si>
    <t>3508-Kab. Rokan Hulu</t>
  </si>
  <si>
    <t xml:space="preserve">3509-Kab. Rokan Hilir   </t>
  </si>
  <si>
    <t xml:space="preserve">3510-Kab. Pelalawan  </t>
  </si>
  <si>
    <t xml:space="preserve">3511-Kab. Siak </t>
  </si>
  <si>
    <t xml:space="preserve">3512-Kab. Kuantan Singingi   </t>
  </si>
  <si>
    <t>3588-Kab./Kota Lainnya di Riau</t>
  </si>
  <si>
    <t xml:space="preserve">3591-Kota Pekanbaru </t>
  </si>
  <si>
    <t xml:space="preserve">3592-Kota Dumai </t>
  </si>
  <si>
    <t xml:space="preserve">3606-Kab. Musi Banyuasin </t>
  </si>
  <si>
    <t xml:space="preserve">3607-Kab. Ogan Komering Ulu </t>
  </si>
  <si>
    <t xml:space="preserve">3608-Kab. Lematang Ilir Ogan Tengah (Muara Enim) </t>
  </si>
  <si>
    <t>3609-Kab. Lahat</t>
  </si>
  <si>
    <t xml:space="preserve">3610-Kab. Musi Rawas </t>
  </si>
  <si>
    <t xml:space="preserve">3611-Kab. Ogan Komering Ilir </t>
  </si>
  <si>
    <t>3612-Kab. Pangkalan Balai</t>
  </si>
  <si>
    <t>3613-Kab. Banyuasin</t>
  </si>
  <si>
    <t>3614-Kab. Ogan Komeing Ulu Selatan</t>
  </si>
  <si>
    <t>3615-Kab. Ogan Komeing Ulu Timur</t>
  </si>
  <si>
    <t>3616-Kab. Ogan Ilir</t>
  </si>
  <si>
    <t>3617-Kab. Empat Lawang</t>
  </si>
  <si>
    <t>3688-Kab./Kota Lainnya di Sumsel</t>
  </si>
  <si>
    <t xml:space="preserve">3691-Kota Palembang </t>
  </si>
  <si>
    <t xml:space="preserve">3693-Kota Lubuklinggau </t>
  </si>
  <si>
    <t xml:space="preserve">3694-Kota Prabumulih </t>
  </si>
  <si>
    <t>3695-Kota Baturaja</t>
  </si>
  <si>
    <t xml:space="preserve">3697-Kota Pagar Alam   </t>
  </si>
  <si>
    <t xml:space="preserve">3701-Kab. Bangka </t>
  </si>
  <si>
    <t>3702-Kab. Belitung</t>
  </si>
  <si>
    <t>3703-Kab. Bangka Barat</t>
  </si>
  <si>
    <t>3704-Kab. Bangka Selatan</t>
  </si>
  <si>
    <t>3705-Kab. Bangka Tengah</t>
  </si>
  <si>
    <t xml:space="preserve">3706-Kab. Belitung Timur </t>
  </si>
  <si>
    <t>3788-Kab./Kota Lainnya di Kep. Bangka</t>
  </si>
  <si>
    <t xml:space="preserve">3791-Kota Pangkal Pinang </t>
  </si>
  <si>
    <t>3800-Kepala Daerah Provinsi Kep. Riau</t>
  </si>
  <si>
    <t>3801-Kab. Karimun</t>
  </si>
  <si>
    <t>3802-Kab. Lingga</t>
  </si>
  <si>
    <t>3803-Kab. Natuna</t>
  </si>
  <si>
    <t>3804-Kab. Bintan (d/h Kab. Kepulauan Riau)</t>
  </si>
  <si>
    <t>3888-Kab./Kota Lainnya di Kep. Riau</t>
  </si>
  <si>
    <t xml:space="preserve">3891-Kota Tanjung Pinang </t>
  </si>
  <si>
    <t>3892-Kota Batam</t>
  </si>
  <si>
    <t xml:space="preserve">3901-Kab. Lampung Selatan </t>
  </si>
  <si>
    <t xml:space="preserve">3902-Kab. Lampung Tengah </t>
  </si>
  <si>
    <t xml:space="preserve">3903-Kab. Lampung Utara </t>
  </si>
  <si>
    <t xml:space="preserve">3904-Kab. Lampung Barat </t>
  </si>
  <si>
    <t xml:space="preserve">3905-Kab. Tulang Bawang </t>
  </si>
  <si>
    <t xml:space="preserve">3906-Kab. Tanggamus </t>
  </si>
  <si>
    <t>3907-Kab.  Lampung Timur</t>
  </si>
  <si>
    <t>3908-Kab.  Way Kanan</t>
  </si>
  <si>
    <t>3909-Kab. Pesawaran</t>
  </si>
  <si>
    <t>3988-Kab./Kota Lainnya di Lampung</t>
  </si>
  <si>
    <t xml:space="preserve">3991-Kota Bandar Lampung </t>
  </si>
  <si>
    <t xml:space="preserve">3992-Kota  Metro </t>
  </si>
  <si>
    <t xml:space="preserve">5101-Kab. Banjar </t>
  </si>
  <si>
    <t xml:space="preserve">5102-Kab. Tanah Laut </t>
  </si>
  <si>
    <t xml:space="preserve">5103-Kab. Tapin </t>
  </si>
  <si>
    <t>5104-Kab. Hulu Sungai Selatan</t>
  </si>
  <si>
    <t xml:space="preserve">5105-Kab. Hulu Sungai Tengah </t>
  </si>
  <si>
    <t xml:space="preserve">5106-Kab. Hulu Sungai Utara </t>
  </si>
  <si>
    <t xml:space="preserve">5107-Kab. Barito Kuala </t>
  </si>
  <si>
    <t xml:space="preserve">5108-Kab. Kota Baru </t>
  </si>
  <si>
    <t>5109-Kab. Tabalong</t>
  </si>
  <si>
    <t>5110-Kab.Tanah Bumbu</t>
  </si>
  <si>
    <t>5111-Kab. Balangan</t>
  </si>
  <si>
    <t>5188-Kab./Kota Lainnya di Kalsel</t>
  </si>
  <si>
    <t xml:space="preserve">5191-Kota Banjarmasin </t>
  </si>
  <si>
    <t xml:space="preserve">5192-Kota Banjarbaru </t>
  </si>
  <si>
    <t xml:space="preserve">5301-Kab. Pontianak </t>
  </si>
  <si>
    <t xml:space="preserve">5302-Kab. Sambas </t>
  </si>
  <si>
    <t xml:space="preserve">5303-Kab. Ketapang </t>
  </si>
  <si>
    <t xml:space="preserve">5304-Kab. Sanggau </t>
  </si>
  <si>
    <t xml:space="preserve">5305-Kab. Sintang </t>
  </si>
  <si>
    <t xml:space="preserve">5306-Kab. Kapuas Hulu </t>
  </si>
  <si>
    <t xml:space="preserve">5307-Kab. Bengkayang    </t>
  </si>
  <si>
    <t xml:space="preserve">5308-Kab. Landak   </t>
  </si>
  <si>
    <t>5309-Kab. Sekadau</t>
  </si>
  <si>
    <t>5310-Kab. Melawi</t>
  </si>
  <si>
    <t>5311-Kab. Kayong Utara</t>
  </si>
  <si>
    <t>5312-Kab. Kubu Raya</t>
  </si>
  <si>
    <t>5388-Kab./Kota Lainnya di Kalbar</t>
  </si>
  <si>
    <t xml:space="preserve">5391-Kota Pontianak </t>
  </si>
  <si>
    <t xml:space="preserve">5392-Kota Singkawang </t>
  </si>
  <si>
    <t>5401-Kab. Kutai Kartanegara</t>
  </si>
  <si>
    <t xml:space="preserve">5402-Kab. Berau </t>
  </si>
  <si>
    <t>5403-Kab. Pasir</t>
  </si>
  <si>
    <t xml:space="preserve">5404-Kab. Bulungan </t>
  </si>
  <si>
    <t xml:space="preserve">5405-Kab. Kutai Barat   </t>
  </si>
  <si>
    <t xml:space="preserve">5406-Kab. Kutai Timur </t>
  </si>
  <si>
    <t>5407-Kab. Bulungan Selatan</t>
  </si>
  <si>
    <t>5408-Kab. Bulungan Utara</t>
  </si>
  <si>
    <t>5409-Kab. Nunukan</t>
  </si>
  <si>
    <t>5410-Kab. Malinau</t>
  </si>
  <si>
    <t>5411-Kab. Penajam Paser Utara</t>
  </si>
  <si>
    <t>5412-Kab. Tana Tidung</t>
  </si>
  <si>
    <t>5488-Kab./Kota Lainnya di Kaltim</t>
  </si>
  <si>
    <t xml:space="preserve">5491-Kota Samarinda </t>
  </si>
  <si>
    <t xml:space="preserve">5492-Kota Balikpapan </t>
  </si>
  <si>
    <t xml:space="preserve">5493-Kota Tarakan </t>
  </si>
  <si>
    <t xml:space="preserve">5494-Kota Bontang </t>
  </si>
  <si>
    <t xml:space="preserve">5801-Kab. Kapuas </t>
  </si>
  <si>
    <t xml:space="preserve">5802-Kab. Kotawaringin Barat </t>
  </si>
  <si>
    <t>5803-Kab. Kotawaringin Timur</t>
  </si>
  <si>
    <t>5804-Kab. Murung Raya</t>
  </si>
  <si>
    <t>5805-Kab. Barito Timur</t>
  </si>
  <si>
    <t xml:space="preserve">5806-Kab. Barito Selatan </t>
  </si>
  <si>
    <t>5807-Kab. Gunung Mas</t>
  </si>
  <si>
    <t>5808-Kab. Barito Utara</t>
  </si>
  <si>
    <t>5809-Kab. Pulang Pisau</t>
  </si>
  <si>
    <t>5810-Kab. Seruyan</t>
  </si>
  <si>
    <t>5811-Kab. Katingan</t>
  </si>
  <si>
    <t>5812-Kab. Sukamara</t>
  </si>
  <si>
    <t>5813-Kab. Lamandau</t>
  </si>
  <si>
    <t>5888-Kab./Kota Lainnya di Kalteng</t>
  </si>
  <si>
    <t xml:space="preserve">5892-Kota Palangkaraya </t>
  </si>
  <si>
    <t xml:space="preserve">6001-Kab. Donggala </t>
  </si>
  <si>
    <t xml:space="preserve">6002-Kab. Poso </t>
  </si>
  <si>
    <t xml:space="preserve">6003-Kab. Parimo/Banggai </t>
  </si>
  <si>
    <t>6004-Kab. Toli-Toli</t>
  </si>
  <si>
    <t xml:space="preserve">6005-Kab.Banggai Kepulauan   </t>
  </si>
  <si>
    <t xml:space="preserve">6006-Kab. Morowali  </t>
  </si>
  <si>
    <t xml:space="preserve">6007-Kab. Buol    </t>
  </si>
  <si>
    <t>6008-Kab. Tojo Una-Una</t>
  </si>
  <si>
    <t>6009-Kab. Parigi Moutong</t>
  </si>
  <si>
    <t>6088-Kab./Kota Lainnya di Sulteng</t>
  </si>
  <si>
    <t xml:space="preserve">6091-Kota Palu </t>
  </si>
  <si>
    <t xml:space="preserve">6101-Kab. Pinrang </t>
  </si>
  <si>
    <t xml:space="preserve">6102-Kab. Gowa </t>
  </si>
  <si>
    <t xml:space="preserve">6103-Kab. Wajo </t>
  </si>
  <si>
    <t xml:space="preserve">6105-Kab. Bone </t>
  </si>
  <si>
    <t xml:space="preserve">6106-Kab. Tana Toraja </t>
  </si>
  <si>
    <t xml:space="preserve">6107-Kab. Maros </t>
  </si>
  <si>
    <t>6109-Kab. Luwu</t>
  </si>
  <si>
    <t xml:space="preserve">6110-Kab. Sinjai </t>
  </si>
  <si>
    <t xml:space="preserve">6111-Kab. Bulukumba </t>
  </si>
  <si>
    <t xml:space="preserve">6112-Kab. Bantaeng </t>
  </si>
  <si>
    <t xml:space="preserve">6113-Kab. Jeneponto </t>
  </si>
  <si>
    <t xml:space="preserve">6114-Kab. Selayar </t>
  </si>
  <si>
    <t xml:space="preserve">6115-Kab. Takalar </t>
  </si>
  <si>
    <t xml:space="preserve">6116-Kab. Barru </t>
  </si>
  <si>
    <t xml:space="preserve">6117-Kab. Sidenreng Rappang </t>
  </si>
  <si>
    <t xml:space="preserve">6118-Kab. Pangkajene Kepulauan </t>
  </si>
  <si>
    <t>6119-Kab. Soppeng (d/h Watansoppeng)</t>
  </si>
  <si>
    <t xml:space="preserve">6120-Kab. Polewali  </t>
  </si>
  <si>
    <t xml:space="preserve">6121-Kab. Enrekang </t>
  </si>
  <si>
    <t>6122-Kab. Luwu Timur (d/h Luwu Selatan)</t>
  </si>
  <si>
    <t xml:space="preserve">6124-Kab. Luwu Utara  </t>
  </si>
  <si>
    <t>6188-Kab./Kota Lainnya di Sulsel</t>
  </si>
  <si>
    <t>6191-Kota Makassar</t>
  </si>
  <si>
    <t xml:space="preserve">6192-Kota Pare-Pare </t>
  </si>
  <si>
    <t>6193-Kota Palopo</t>
  </si>
  <si>
    <t>6194-Kota Watampone</t>
  </si>
  <si>
    <t>6200-Kepala Daerah Provinsi Sulawesi Utara</t>
  </si>
  <si>
    <t xml:space="preserve">6202-Kab. Minahasa </t>
  </si>
  <si>
    <t xml:space="preserve">6203-Kab. Bolaang Mongondow </t>
  </si>
  <si>
    <t xml:space="preserve">6204-Kab. Kepulauan Sangihe </t>
  </si>
  <si>
    <t xml:space="preserve">6205-Kab. kepulauan Talaud </t>
  </si>
  <si>
    <t xml:space="preserve">6206-Kab. Minahasa Selatan </t>
  </si>
  <si>
    <t>6207-Kab. Minahasa Utara</t>
  </si>
  <si>
    <t>6208-Kab. Talaud</t>
  </si>
  <si>
    <t>6209-Kab. Minahasa Tenggara</t>
  </si>
  <si>
    <t>6210-Kab. Bolaang Mongondow Utara</t>
  </si>
  <si>
    <t>6211-Kab. Kepulauan Sitaro</t>
  </si>
  <si>
    <t>6288-Kab./Kota Lainnya di Sulut</t>
  </si>
  <si>
    <t xml:space="preserve">6291-Kota Manado </t>
  </si>
  <si>
    <t>6292-Kota Kotamobagu</t>
  </si>
  <si>
    <t xml:space="preserve">6293-Kota Bitung </t>
  </si>
  <si>
    <t>6294-Kota. Tomohon</t>
  </si>
  <si>
    <t xml:space="preserve">6301-Kab. Gorontalo </t>
  </si>
  <si>
    <t xml:space="preserve">6302-Kab. Bualemo   </t>
  </si>
  <si>
    <t>6303-Kab. Bonebolango</t>
  </si>
  <si>
    <t>6304-Kab. Pohuwato</t>
  </si>
  <si>
    <t>6305-Kab. Gorontalo Utara</t>
  </si>
  <si>
    <t>6388-Kab./Kota Lainnya di Gorontalo</t>
  </si>
  <si>
    <t xml:space="preserve">6391-Kota Gorontalo </t>
  </si>
  <si>
    <t>6401-Kab. Polewali Mandar</t>
  </si>
  <si>
    <t xml:space="preserve">6402-Kab. Majene </t>
  </si>
  <si>
    <t xml:space="preserve">6403-Kab. Mamasa </t>
  </si>
  <si>
    <t>6404-Kab. Mamuju Utara</t>
  </si>
  <si>
    <t>6488-Kab./Kota Lainnya di Sulbar</t>
  </si>
  <si>
    <t>6491-Kota Mamuju</t>
  </si>
  <si>
    <t xml:space="preserve">6901-Kab. Buton </t>
  </si>
  <si>
    <t xml:space="preserve">6902-Kab. Kendari </t>
  </si>
  <si>
    <t xml:space="preserve">6903-Kab. Muna </t>
  </si>
  <si>
    <t xml:space="preserve">6904-Kab. Kolaka </t>
  </si>
  <si>
    <t>6905-Kab. Wakatobi</t>
  </si>
  <si>
    <t>6906-Kab. Konawe</t>
  </si>
  <si>
    <t xml:space="preserve">6907-Kab. Konawe Selatan </t>
  </si>
  <si>
    <t>6908-Kab. Bombana</t>
  </si>
  <si>
    <t>6909-Kab. Kolaka Utara</t>
  </si>
  <si>
    <t>6910-Kab. Buton Utara</t>
  </si>
  <si>
    <t>6911-Kab. Konawe Utara</t>
  </si>
  <si>
    <t>6988-Kab./Kota Lainnya di Sulteng</t>
  </si>
  <si>
    <t xml:space="preserve">6990-Kota Bau-Bau </t>
  </si>
  <si>
    <t xml:space="preserve">6991-Kota Kendari </t>
  </si>
  <si>
    <t xml:space="preserve">7101-Kab. Lombok Barat </t>
  </si>
  <si>
    <t xml:space="preserve">7102-Kab. Lombok Tengah </t>
  </si>
  <si>
    <t xml:space="preserve">7103-Kab. Lombok Timur </t>
  </si>
  <si>
    <t xml:space="preserve">7104-Kab. Sumbawa </t>
  </si>
  <si>
    <t xml:space="preserve">7105-Kab. Bima </t>
  </si>
  <si>
    <t xml:space="preserve">7106-Kab. Dompu </t>
  </si>
  <si>
    <t>7107-Kab. Sumbawa Barat</t>
  </si>
  <si>
    <t>7188-Kab./Kota Lainnya di NTB</t>
  </si>
  <si>
    <t xml:space="preserve">7191-Kota Mataram </t>
  </si>
  <si>
    <t>7192-Kota. Bima</t>
  </si>
  <si>
    <t xml:space="preserve">7201-Kab. Buleleng </t>
  </si>
  <si>
    <t xml:space="preserve">7202-Kab. Jembrana </t>
  </si>
  <si>
    <t xml:space="preserve">7203-Kab. Tabanan </t>
  </si>
  <si>
    <t>7204-Kab. Badung</t>
  </si>
  <si>
    <t xml:space="preserve">7205-Kab. Gianyar </t>
  </si>
  <si>
    <t xml:space="preserve">7206-Kab. Klungkung </t>
  </si>
  <si>
    <t xml:space="preserve">7207-Kab. Bangli </t>
  </si>
  <si>
    <t xml:space="preserve">7208-Kab. Karangasem </t>
  </si>
  <si>
    <t>7288-Kab./Kota Lainnya di Bali</t>
  </si>
  <si>
    <t xml:space="preserve">7291-Kota Denpasar </t>
  </si>
  <si>
    <t xml:space="preserve">7401-Kab. Kupang </t>
  </si>
  <si>
    <t xml:space="preserve">7402-Kab. Timor-Tengah Selatan </t>
  </si>
  <si>
    <t xml:space="preserve">7403-Kab. Timor-Tengah Utara </t>
  </si>
  <si>
    <t xml:space="preserve">7404-Kab. Belu </t>
  </si>
  <si>
    <t xml:space="preserve">7405-Kab. Alor </t>
  </si>
  <si>
    <t xml:space="preserve">7406-Kab. Flores Timur </t>
  </si>
  <si>
    <t xml:space="preserve">7407-Kab. Sikka </t>
  </si>
  <si>
    <t xml:space="preserve">7408-Kab. Ende </t>
  </si>
  <si>
    <t xml:space="preserve">7409-Kab. Ngada </t>
  </si>
  <si>
    <t xml:space="preserve">7410-Kab. Manggarai </t>
  </si>
  <si>
    <t>7411-Kab. Sumba Timur</t>
  </si>
  <si>
    <t xml:space="preserve">7412-Kab. Sumba Barat </t>
  </si>
  <si>
    <t>7413-Kab. Lembata</t>
  </si>
  <si>
    <t>7414-Kab. Rote</t>
  </si>
  <si>
    <t>7415-Kab. Manggarai Barat</t>
  </si>
  <si>
    <t>7416-Kab. Sumba Tengah</t>
  </si>
  <si>
    <t>7417-Kab. Sumba Barat Daya</t>
  </si>
  <si>
    <t>7418-Kab. Manggarai Timur</t>
  </si>
  <si>
    <t>7419-Kab. Nagekeo</t>
  </si>
  <si>
    <t>7488-Kab./Kota Lainnya di NTT</t>
  </si>
  <si>
    <t xml:space="preserve">7491-Kota Kupang </t>
  </si>
  <si>
    <t xml:space="preserve">8101-Kab. Maluku Tengah </t>
  </si>
  <si>
    <t xml:space="preserve">8102-Kab. Maluku Tenggara </t>
  </si>
  <si>
    <t>8103-Kab. Maluku Tenggara Barat</t>
  </si>
  <si>
    <t>8104-Kab Buru</t>
  </si>
  <si>
    <t>8105-Kota Seram Bagian Barat</t>
  </si>
  <si>
    <t>8106-Kota Seram Bagian Timur</t>
  </si>
  <si>
    <t>8107-Kota Kepulauan Aru</t>
  </si>
  <si>
    <t>8188-Kab./Kota Lainnya di Maluku</t>
  </si>
  <si>
    <t xml:space="preserve">8191-Kota Ambon </t>
  </si>
  <si>
    <t>8192-Kota Tual</t>
  </si>
  <si>
    <t xml:space="preserve">8201-Kab. Jayapura </t>
  </si>
  <si>
    <t xml:space="preserve">8202-Kab. Biak Numfor </t>
  </si>
  <si>
    <t xml:space="preserve">8210-Kab. Yapen-Waropen </t>
  </si>
  <si>
    <t xml:space="preserve">8211-Kab. Merauke </t>
  </si>
  <si>
    <t xml:space="preserve">8212-Kab. Paniai </t>
  </si>
  <si>
    <t xml:space="preserve">8213-Kab. Jayawijaya </t>
  </si>
  <si>
    <t>8214-Kab. Nabire</t>
  </si>
  <si>
    <t>8215-Kab. Mimika</t>
  </si>
  <si>
    <t>8216-Kab. Puncak Jaya</t>
  </si>
  <si>
    <t>8217-Kab. Sarmi</t>
  </si>
  <si>
    <t>8218-Kab. Keerom</t>
  </si>
  <si>
    <t>8221-Kab. Pegunungan Bintang</t>
  </si>
  <si>
    <t>8222-Kab. Yahukimo</t>
  </si>
  <si>
    <t>8223-Kab. Tolikara</t>
  </si>
  <si>
    <t>8224-Kab. Waropen</t>
  </si>
  <si>
    <t>8226-Kab. Boven Digoel</t>
  </si>
  <si>
    <t>8227-Kab. Mappi</t>
  </si>
  <si>
    <t>8228-Kab. Asmat</t>
  </si>
  <si>
    <t>8231-Kab. Supiori</t>
  </si>
  <si>
    <t>8232-Kab. Mamberamo Raya</t>
  </si>
  <si>
    <t>8233-Kab. Dogiyai</t>
  </si>
  <si>
    <t>8234-Kab. Lanny Jaya</t>
  </si>
  <si>
    <t>8235-Kab. Mamberamo Tengah</t>
  </si>
  <si>
    <t>8236-Kab. Nduga Tengah</t>
  </si>
  <si>
    <t>8237-Kab. Yalimo</t>
  </si>
  <si>
    <t>8238-Kab. Puncak</t>
  </si>
  <si>
    <t>8288-Kab./Kota Lainnya di Papua</t>
  </si>
  <si>
    <t xml:space="preserve">8291-Kota Jayapura </t>
  </si>
  <si>
    <t xml:space="preserve">8301-Kab. Maluku Utara   </t>
  </si>
  <si>
    <t xml:space="preserve">8302-Kab. Halmahera Tengah  </t>
  </si>
  <si>
    <t>8303-Kab. Halmahera Utara</t>
  </si>
  <si>
    <t>8304-Kab. Halmahera Timur</t>
  </si>
  <si>
    <t>8305-Kab. Halmahera Barat</t>
  </si>
  <si>
    <t>8306-Kab. Halmahera Selatan</t>
  </si>
  <si>
    <t>8307-Kab. Kepulauan Sula</t>
  </si>
  <si>
    <t>8388-Kab./Kota Lainnya di Maluku Utara</t>
  </si>
  <si>
    <t xml:space="preserve">8390-Kota Ternate   </t>
  </si>
  <si>
    <t>8391-Kota Tidore Kepulauan</t>
  </si>
  <si>
    <t>8400-Kepala Daerah Provinsi Irian Jaya Barat</t>
  </si>
  <si>
    <t xml:space="preserve">8401-Kab. Sorong </t>
  </si>
  <si>
    <t xml:space="preserve">8402-Kab. Fak-Fak </t>
  </si>
  <si>
    <t xml:space="preserve">8403-Kab. Manokwari </t>
  </si>
  <si>
    <t>8404-Kab. Sorong Selatan</t>
  </si>
  <si>
    <t>8405-Kab. Raja Ampat</t>
  </si>
  <si>
    <t>8406-Kab. Kaimana</t>
  </si>
  <si>
    <t>8407-Kab. Teluk Bintuni</t>
  </si>
  <si>
    <t>8408-Kab. Teluk Wondama</t>
  </si>
  <si>
    <t>8488-Kab./Kota Lainnya di Irja Barat</t>
  </si>
  <si>
    <t>8491-Kota Sorong</t>
  </si>
  <si>
    <t>1-&gt;10%</t>
  </si>
  <si>
    <t>2-&lt;10%</t>
  </si>
  <si>
    <t>001-Bank Indonesia</t>
  </si>
  <si>
    <t>100-Pemerintahan Pusat</t>
  </si>
  <si>
    <t>200-Bank Sentral di LN</t>
  </si>
  <si>
    <t>290-Bank Umum Di Indonesia</t>
  </si>
  <si>
    <t>299-Bank Umum di LN</t>
  </si>
  <si>
    <t>310-Perusahaan Pembiayaan</t>
  </si>
  <si>
    <t>320-Modal Ventura</t>
  </si>
  <si>
    <t>330-Sekuritas</t>
  </si>
  <si>
    <t>340-Asuransi</t>
  </si>
  <si>
    <t>350-Dana Pensiun</t>
  </si>
  <si>
    <t>360-Reksadana</t>
  </si>
  <si>
    <t>410-BUMN-non lembaga keuangan</t>
  </si>
  <si>
    <t>430-Perusahaan- Lainnya</t>
  </si>
  <si>
    <t>XXX-Asing</t>
  </si>
  <si>
    <t>999-Lainnya</t>
  </si>
  <si>
    <t>69-Discretionary Funds</t>
  </si>
  <si>
    <t>99-Lainnya</t>
  </si>
  <si>
    <t>1-Transaksi Surat Berharga</t>
  </si>
  <si>
    <t>2-Transaksi Piutang Bunga/Dividen</t>
  </si>
  <si>
    <t>1-Transaksi Penyertaan</t>
  </si>
  <si>
    <t>2-Transaksi Piutang Dividen</t>
  </si>
  <si>
    <t>3-Transaksi Laba Ditahan</t>
  </si>
  <si>
    <t>11-Saham Listed</t>
  </si>
  <si>
    <t>12-Saham Unlisted</t>
  </si>
  <si>
    <t>13-Saham Lainnya (termasuk saham repo)</t>
  </si>
  <si>
    <t>31-Money market fund shares/units</t>
  </si>
  <si>
    <t>32-Other investment fund shares/units</t>
  </si>
  <si>
    <t>51-Promissory Notes</t>
  </si>
  <si>
    <t>52-Commercial Papers</t>
  </si>
  <si>
    <t>53-T-Bills / T-Notes</t>
  </si>
  <si>
    <t>54-Banker's Acceptance</t>
  </si>
  <si>
    <t>55-Obligasi / Bonds</t>
  </si>
  <si>
    <t>56-Floating Rate Notes / FRN</t>
  </si>
  <si>
    <t>57-Medium Term Notes / MTN</t>
  </si>
  <si>
    <t>58-Surat Utang Repo</t>
  </si>
  <si>
    <t>59-Surat Utang Lainnya</t>
  </si>
  <si>
    <t>60-Certificate of Deposit</t>
  </si>
  <si>
    <t>61-Negotiable Certificate Deposit</t>
  </si>
  <si>
    <t>62-Floating Rate Certificate of Deposit</t>
  </si>
  <si>
    <t>63-Asset Backed Securities</t>
  </si>
  <si>
    <t>99-Surat Berharga Lainnya</t>
  </si>
  <si>
    <t>001-Transaksi Penambahan Surat Berharga</t>
  </si>
  <si>
    <t>002-Transaksi Pengurangan Surat Berharga</t>
  </si>
  <si>
    <t>003-Transaksi Penambahan Piutang Bunga/Dividen</t>
  </si>
  <si>
    <t>004-Transaksi Pengurangan Piutang Bunga/Dividen</t>
  </si>
  <si>
    <t>005-Perubahan/Koreksi Surat Berharga (Dr)</t>
  </si>
  <si>
    <t>006-Perubahan/Koreksi Surat Berharga (Cr)</t>
  </si>
  <si>
    <t>007-Perubahan/Koreksi Piutang Bunga/Dividen (Dr)</t>
  </si>
  <si>
    <t>008-Perubahan/Koreksi Piutang Bunga/Dividen (Cr)</t>
  </si>
  <si>
    <t>Jenis Tanah/Bangunan</t>
  </si>
  <si>
    <t>SJT Aset Lainnya</t>
  </si>
  <si>
    <t>1400020-Kas dalam valas</t>
  </si>
  <si>
    <t>1400030-Simpanan (Tabungan, deposito dan simpanan lainnya, kecuali giro) *)</t>
  </si>
  <si>
    <t>1075010-Premi asuransi jiwa dibayar dimuka (untuk perusahaan non asuransi)</t>
  </si>
  <si>
    <t>1075020-Premi asuransi freight dibayar dimuka (untuk perusahaan non asuransi)</t>
  </si>
  <si>
    <t>1075030-Premi asuransi nonjiwa selain freight dibayar dimuka (untuk perusahaan non asuransi)</t>
  </si>
  <si>
    <t>1071030-Piutang klaim asuransi jiwa (untuk perusahaan non asuransi)</t>
  </si>
  <si>
    <t>1076030-Piutang klaim asuransi freight (untuk perusahaan non asuransi)</t>
  </si>
  <si>
    <t>1072030-Piutang klaim asuransi nonjiwa selain freight (untuk perusahaan non asuransi)</t>
  </si>
  <si>
    <t>1014000-Uang muka (advance payment) untuk pembelian barang dan jasa (termasuk pembelian aktiva tetap)</t>
  </si>
  <si>
    <t>1220000-Pinjaman yg diberikan *)</t>
  </si>
  <si>
    <t>1400040-Tagihan lainnya *)</t>
  </si>
  <si>
    <t>1182020-Bunga Simpanan lainnya berupa tabungan, deposito, dan lainnya</t>
  </si>
  <si>
    <t>1183000-Bunga Pinjaman yg diberikan</t>
  </si>
  <si>
    <t>1400050-Bunga Tagihan lainnya (termasuk biaya dibayar dimuka [prepayment] selain untuk asuransi)</t>
  </si>
  <si>
    <t>2400020-Kas dalam valas</t>
  </si>
  <si>
    <t>2400030-Simpanan (Tabungan, deposito dan simpanan lainnya, kecuali giro) *)</t>
  </si>
  <si>
    <t>2075010-Premi asuransi jiwa dibayar dimuka (untuk perusahaan non asuransi)</t>
  </si>
  <si>
    <t>2075020-Premi asuransi freight dibayar dimuka (untuk perusahaan non asuransi)</t>
  </si>
  <si>
    <t>2075030-Premi asuransi nonjiwa selain freight dibayar dimuka (untuk perusahaan non asuransi)</t>
  </si>
  <si>
    <t>2071030-Piutang klaim asuransi jiwa (untuk perusahaan non asuransi)</t>
  </si>
  <si>
    <t>2076030-Piutang klaim asuransi freight (untuk perusahaan non asuransi)</t>
  </si>
  <si>
    <t>2072030-Piutang klaim asuransi nonjiwa selain freight (untuk perusahaan non asuransi)</t>
  </si>
  <si>
    <t>2014000-Uang muka (advance payment) untuk pembelian barang dan jasa (termasuk pembelian aktiva tetap)</t>
  </si>
  <si>
    <t>2220000-Pinjaman yg diberikan *)</t>
  </si>
  <si>
    <t>2400040-Tagihan lainnya *)</t>
  </si>
  <si>
    <t>2182020-Bunga Simpanan lainnya berupa tabungan, deposito, dan lainnya</t>
  </si>
  <si>
    <t>2183000-Bunga Pinjaman yg diberikan</t>
  </si>
  <si>
    <t>2400050-Bunga Tagihan lainnya (termasuk biaya dibayar dimuka [prepayment] selain untuk asuransi)</t>
  </si>
  <si>
    <t>3400020-Kas dalam valas</t>
  </si>
  <si>
    <t>3400030-Simpanan (Tabungan, deposito dan simpanan lainnya, kecuali giro) *)</t>
  </si>
  <si>
    <t>3075010-Premi asuransi jiwa dibayar dimuka (untuk perusahaan non asuransi)</t>
  </si>
  <si>
    <t>3075020-Premi asuransi freight dibayar dimuka (untuk perusahaan non asuransi)</t>
  </si>
  <si>
    <t>3075030-Premi asuransi nonjiwa selain freight dibayar dimuka (untuk perusahaan non asuransi)</t>
  </si>
  <si>
    <t>3071030-Piutang klaim asuransi jiwa (untuk perusahaan non asuransi)</t>
  </si>
  <si>
    <t>3076030-Piutang klaim asuransi freight (untuk perusahaan non asuransi)</t>
  </si>
  <si>
    <t>3072030-Piutang klaim asuransi nonjiwa selain freight (untuk perusahaan non asuransi)</t>
  </si>
  <si>
    <t>3014000-Uang muka (advance payment) untuk pembelian barang dan jasa (termasuk pembelian aktiva tetap)</t>
  </si>
  <si>
    <t>3220000-Pinjaman yg diberikan *)</t>
  </si>
  <si>
    <t>3400040-Tagihan lainnya *)</t>
  </si>
  <si>
    <t>3182020-Bunga Simpanan lainnya berupa tabungan, deposito, dan lainnya</t>
  </si>
  <si>
    <t>3183000-Bunga Pinjaman yg diberikan</t>
  </si>
  <si>
    <t>3400050-Bunga Tagihan lainnya (termasuk biaya dibayar dimuka [prepayment] selain untuk asuransi)</t>
  </si>
  <si>
    <t>4400020-Kas dalam valas</t>
  </si>
  <si>
    <t>4400030-Simpanan (Tabungan, deposito dan simpanan lainnya, kecuali giro) *)</t>
  </si>
  <si>
    <t>4075010-Premi asuransi jiwa dibayar dimuka (untuk perusahaan non asuransi)</t>
  </si>
  <si>
    <t>4075020-Premi asuransi freight dibayar dimuka (untuk perusahaan non asuransi)</t>
  </si>
  <si>
    <t>4075030-Premi asuransi nonjiwa selain freight dibayar dimuka (untuk perusahaan non asuransi)</t>
  </si>
  <si>
    <t>4071030-Piutang klaim asuransi jiwa (untuk perusahaan non asuransi)</t>
  </si>
  <si>
    <t>4076030-Piutang klaim asuransi freight (untuk perusahaan non asuransi)</t>
  </si>
  <si>
    <t>4072030-Piutang klaim asuransi nonjiwa selain freight (untuk perusahaan non asuransi)</t>
  </si>
  <si>
    <t>4014000-Uang muka (advance payment) untuk pembelian barang dan jasa (termasuk pembelian aktiva tetap)</t>
  </si>
  <si>
    <t>4220000-Pinjaman yg diberikan *)</t>
  </si>
  <si>
    <t>4400040-Tagihan lainnya *)</t>
  </si>
  <si>
    <t>4182020-Bunga Simpanan lainnya berupa tabungan, deposito, dan lainnya</t>
  </si>
  <si>
    <t>4183000-Bunga Pinjaman yg diberikan</t>
  </si>
  <si>
    <t>4400050-Bunga Tagihan lainnya (termasuk biaya dibayar dimuka [prepayment] selain untuk asuransi)</t>
  </si>
  <si>
    <t>5400020-Kas dalam valas</t>
  </si>
  <si>
    <t>5400030-Simpanan (Tabungan, deposito dan simpanan lainnya, kecuali giro) *)</t>
  </si>
  <si>
    <t>5075010-Premi asuransi jiwa dibayar dimuka (untuk perusahaan non asuransi)</t>
  </si>
  <si>
    <t>5075020-Premi asuransi freight dibayar dimuka (untuk perusahaan non asuransi)</t>
  </si>
  <si>
    <t>5075030-Premi asuransi nonjiwa selain freight dibayar dimuka (untuk perusahaan non asuransi)</t>
  </si>
  <si>
    <t>5071030-Piutang klaim asuransi jiwa (untuk perusahaan non asuransi)</t>
  </si>
  <si>
    <t>5076030-Piutang klaim asuransi freight (untuk perusahaan non asuransi)</t>
  </si>
  <si>
    <t>5072030-Piutang klaim asuransi nonjiwa selain freight (untuk perusahaan non asuransi)</t>
  </si>
  <si>
    <t>5014000-Uang muka (advance payment) untuk pembelian barang dan jasa (termasuk pembelian aktiva tetap)</t>
  </si>
  <si>
    <t>5220000-Pinjaman yg diberikan *)</t>
  </si>
  <si>
    <t>5400040-Tagihan lainnya *)</t>
  </si>
  <si>
    <t>5182020-Bunga Simpanan lainnya berupa tabungan, deposito, dan lainnya</t>
  </si>
  <si>
    <t>5183000-Bunga Pinjaman yg diberikan</t>
  </si>
  <si>
    <t>5400050-Bunga Tagihan lainnya (termasuk biaya dibayar dimuka [prepayment] selain untuk asuransi)</t>
  </si>
  <si>
    <t>6400020-Kas dalam valas</t>
  </si>
  <si>
    <t>6400030-Simpanan (Tabungan, deposito dan simpanan lainnya, kecuali giro) *)</t>
  </si>
  <si>
    <t>6075010-Premi asuransi jiwa dibayar dimuka (untuk perusahaan non asuransi)</t>
  </si>
  <si>
    <t>6075020-Premi asuransi freight dibayar dimuka (untuk perusahaan non asuransi)</t>
  </si>
  <si>
    <t>6075030-Premi asuransi nonjiwa selain freight dibayar dimuka (untuk perusahaan non asuransi)</t>
  </si>
  <si>
    <t>6071030-Piutang klaim asuransi jiwa (untuk perusahaan non asuransi)</t>
  </si>
  <si>
    <t>6076030-Piutang klaim asuransi freight (untuk perusahaan non asuransi)</t>
  </si>
  <si>
    <t>6072030-Piutang klaim asuransi nonjiwa selain freight (untuk perusahaan non asuransi)</t>
  </si>
  <si>
    <t>6014000-Uang muka (advance payment) untuk pembelian barang dan jasa (termasuk pembelian aktiva tetap)</t>
  </si>
  <si>
    <t>6220000-Pinjaman yg diberikan *)</t>
  </si>
  <si>
    <t>6400040-Tagihan lainnya *)</t>
  </si>
  <si>
    <t>6182020-Bunga Simpanan lainnya berupa tabungan, deposito, dan lainnya</t>
  </si>
  <si>
    <t>6183000-Bunga Pinjaman yg diberikan</t>
  </si>
  <si>
    <t>6400050-Bunga Tagihan lainnya (termasuk biaya dibayar dimuka [prepayment] selain untuk asuransi)</t>
  </si>
  <si>
    <t>SJT Rekening Giro</t>
  </si>
  <si>
    <t>Jenis Form Transaksi Aset</t>
  </si>
  <si>
    <t>1:Transaksi Aset Lainnya</t>
  </si>
  <si>
    <t>2:Transaksi Piutang Bunga</t>
  </si>
  <si>
    <t>Jenis Form Transaksi Penyertaan</t>
  </si>
  <si>
    <t>SJT Penyertaan</t>
  </si>
  <si>
    <t>1:Transaksi Modal Disetor</t>
  </si>
  <si>
    <t>2:Transaksi Utang Dividen</t>
  </si>
  <si>
    <t>3:Transaksi Laba Ditahan</t>
  </si>
  <si>
    <t>Jenis Form Transaksi Ekuitas</t>
  </si>
  <si>
    <t>SJT Ekuitas</t>
  </si>
  <si>
    <t>SJT Sekuritas</t>
  </si>
  <si>
    <t>SJT Piutang Lainnya</t>
  </si>
  <si>
    <t>SJT Asuransi</t>
  </si>
  <si>
    <t>126100A-Spot</t>
  </si>
  <si>
    <t>126300A-Forward/Futures</t>
  </si>
  <si>
    <t>126500A-Swap</t>
  </si>
  <si>
    <t>226100A-Spot</t>
  </si>
  <si>
    <t>226300A-Forward/Futures</t>
  </si>
  <si>
    <t>226500A-Swap</t>
  </si>
  <si>
    <t>326100A-Spot</t>
  </si>
  <si>
    <t>326300A-Forward/Futures</t>
  </si>
  <si>
    <t>326500A-Swap</t>
  </si>
  <si>
    <t>426100A-Spot</t>
  </si>
  <si>
    <t>426300A-Forward/Futures</t>
  </si>
  <si>
    <t>426500A-Swap</t>
  </si>
  <si>
    <t>526100A-Spot</t>
  </si>
  <si>
    <t>526300A-Forward/Futures</t>
  </si>
  <si>
    <t>526500A-Swap</t>
  </si>
  <si>
    <t>626100A-Spot</t>
  </si>
  <si>
    <t>626300A-Forward/Futures</t>
  </si>
  <si>
    <t>626500A-Swap</t>
  </si>
  <si>
    <t>126100K-Spot</t>
  </si>
  <si>
    <t>126300K-Forward/Futures</t>
  </si>
  <si>
    <t>126500K-Swap</t>
  </si>
  <si>
    <t>226100K-Spot</t>
  </si>
  <si>
    <t>226300K-Forward/Futures</t>
  </si>
  <si>
    <t>226500K-Swap</t>
  </si>
  <si>
    <t>326100K-Spot</t>
  </si>
  <si>
    <t>326300K-Forward/Futures</t>
  </si>
  <si>
    <t>326500K-Swap</t>
  </si>
  <si>
    <t>426100K-Spot</t>
  </si>
  <si>
    <t>426300K-Forward/Futures</t>
  </si>
  <si>
    <t>426500K-Swap</t>
  </si>
  <si>
    <t>526100K-Spot</t>
  </si>
  <si>
    <t>526300K-Forward/Futures</t>
  </si>
  <si>
    <t>526500K-Swap</t>
  </si>
  <si>
    <t>626100K-Spot</t>
  </si>
  <si>
    <t>626300K-Forward/Futures</t>
  </si>
  <si>
    <t>626500K-Swap</t>
  </si>
  <si>
    <t>SJT Derivatif</t>
  </si>
  <si>
    <t>SJT Surat Berharga</t>
  </si>
  <si>
    <t>SJT Tanah Bangunan</t>
  </si>
  <si>
    <t>SJT Equity Partnership</t>
  </si>
  <si>
    <t>Jenis Sekuritas</t>
  </si>
  <si>
    <t>Jenis Derivatif</t>
  </si>
  <si>
    <t>010.Sertifikat BI</t>
  </si>
  <si>
    <t>015.Saham biasa</t>
  </si>
  <si>
    <t>016.Yang dijual dg. Janji dibeli kembali (REPO)</t>
  </si>
  <si>
    <t>017.Participating Preference Shares</t>
  </si>
  <si>
    <t>018.Penyertaan Reksadana</t>
  </si>
  <si>
    <t xml:space="preserve">019.Saham lainnya </t>
  </si>
  <si>
    <t>020.Obligasi</t>
  </si>
  <si>
    <t>025.Floating Rate Notes (FRN)</t>
  </si>
  <si>
    <t>030.Medium Term Notes (MTN)</t>
  </si>
  <si>
    <t>035.Prommissory Notes (PNs)</t>
  </si>
  <si>
    <t>040.Commercial Papers (CPs)</t>
  </si>
  <si>
    <t>045.Certificate of Deposit (CDs);</t>
  </si>
  <si>
    <t>050.T.Bills/ T.Notes</t>
  </si>
  <si>
    <t>055.Bankers Acceptance</t>
  </si>
  <si>
    <t>060.Surat Hutang Jk. Panjang REPO</t>
  </si>
  <si>
    <t>065.Surat Hutang Jk. Pendek REPO</t>
  </si>
  <si>
    <t>066.Call Money</t>
  </si>
  <si>
    <t>067.Warrant</t>
  </si>
  <si>
    <t>068.Unit Link</t>
  </si>
  <si>
    <t>069.Discretionary Funds</t>
  </si>
  <si>
    <t>099.Lainnya</t>
  </si>
  <si>
    <t>Cara Pembayaran</t>
  </si>
  <si>
    <t>BANK DALAM NEGERI</t>
  </si>
  <si>
    <t>000002990-PT.BANK RAKYAT INDONESIA (PERSERO) Tbk - UUS</t>
  </si>
  <si>
    <t>000002000-PT.BANK RAKYAT INDONESIA (PERSERO) Tbk</t>
  </si>
  <si>
    <t>000003000-PT.BANK EKSPOR INDONESIA (PERSERO)</t>
  </si>
  <si>
    <t>000003991-PT.BANK EKSPOR INDONESIA (PERSERO) - UUS</t>
  </si>
  <si>
    <t>000008000-PT.BANK MANDIRI (PERSERO) Tbk</t>
  </si>
  <si>
    <t>000009000-PT.BANK NEGARA INDONESIA 1946 (PERSERO) Tbk</t>
  </si>
  <si>
    <t>000009990-PT.BANK NEGARA INDONESIA 1946 (PERSERO) Tbk - UUS</t>
  </si>
  <si>
    <t>000011000-PT.BANK DANAMON INDONESIA Tbk</t>
  </si>
  <si>
    <t>000011991-PT.BANK DANAMON INDONESIA Tbk - UUS</t>
  </si>
  <si>
    <t>000013000-PT.BANK PERMATA Tbk</t>
  </si>
  <si>
    <t>000013991-PT.BANK PERMATA Tbk - UUS</t>
  </si>
  <si>
    <t>000014000-PT.BANK CENTRAL ASIA Tbk</t>
  </si>
  <si>
    <t>000016000-PT.BANK INTERNASIONAL INDONESIA Tbk</t>
  </si>
  <si>
    <t>000016991-PT.BANK INTERNASIONAL INDONESIA Tbk - UUS</t>
  </si>
  <si>
    <t>000019000-PT.PAN INDONESIA BANK LTD. Tbk</t>
  </si>
  <si>
    <t>000020000-PT.BANK ARTA NIAGA KENCANA Tbk</t>
  </si>
  <si>
    <t>000022000-PT.BANK CIMB NIAGA Tbk</t>
  </si>
  <si>
    <t>000022991-PT.BANK CIMB NIAGA Tbk - UUS</t>
  </si>
  <si>
    <t>000023000-PT. BANK UOB BUANA</t>
  </si>
  <si>
    <t>000026000-PT.LIPPOBANK Tbk</t>
  </si>
  <si>
    <t>000026991-PT.LIPPOBANK Tbk - UUS</t>
  </si>
  <si>
    <t>000028000-PT.BANK OCBC NISP Tbk</t>
  </si>
  <si>
    <t>000028991-OCBC NISP - UUS</t>
  </si>
  <si>
    <t>000030000-AMERICAN EXPRESS BANK LTD.</t>
  </si>
  <si>
    <t>000031000-CITIBANK</t>
  </si>
  <si>
    <t>000032000-JP MORGAN CHASE BANK</t>
  </si>
  <si>
    <t>000033000-BANK OF AMERICA NAT.ASSOCIATION</t>
  </si>
  <si>
    <t>000036000-PT.BANK WINDU KENTJANA INTERNATIONAL</t>
  </si>
  <si>
    <t>000037000-PT.BANK ARTHA GRAHA INTERNASIONAL</t>
  </si>
  <si>
    <t>000040000-BANGKOK BANK LTD.</t>
  </si>
  <si>
    <t>000041000-THE HONGKONG &amp; SHANGHAI BANKING CORP</t>
  </si>
  <si>
    <t>000041990-THE HONGKONG &amp; SHANGHAI BANKING CORP - UUS</t>
  </si>
  <si>
    <t>000042000-THE BANK OF TOKYO-MITSUBISHI UFJ, LTD</t>
  </si>
  <si>
    <t xml:space="preserve">000045000-PT.BANK SUMITOMO MITSUI </t>
  </si>
  <si>
    <t>000046000-PT.BANK DBS INDONESIA</t>
  </si>
  <si>
    <t>000047000-PT.BANK RESONA PERDANIA</t>
  </si>
  <si>
    <t>000048000-PT.BANK MIZUHO INDONESIA</t>
  </si>
  <si>
    <t>000050000-STANDARD CHARTERED BANK</t>
  </si>
  <si>
    <t>000052000-ALGEMENE BANK NEDERLAND AMRO BANK N.</t>
  </si>
  <si>
    <t>000054000-BANK CAPITAL INDONESIA</t>
  </si>
  <si>
    <t>000057000-PT.BANK BNP PARIBAS</t>
  </si>
  <si>
    <t>000058000-PT.BANK UOB INDONESIA</t>
  </si>
  <si>
    <t>000059000-PT. BANK KEB INDONESIA</t>
  </si>
  <si>
    <t>000060000-PT.RABO BANK DUTA INDONESIA</t>
  </si>
  <si>
    <t>000061000-PT.ANZ PANIN BANK</t>
  </si>
  <si>
    <t>000067000-DEUTSCHE BANK AG.</t>
  </si>
  <si>
    <t>000068000-PT.BANK WOORI INDONESIA</t>
  </si>
  <si>
    <t>000069000-BANK OF CHINA</t>
  </si>
  <si>
    <t>000076000-PT.BANK BUMI ARTA</t>
  </si>
  <si>
    <t>000087000-PT.BANK EKONOMI RAHARJA Tbk</t>
  </si>
  <si>
    <t>000088000-PT.BANK ANTARDAERAH</t>
  </si>
  <si>
    <t>000089000-PT.RABOBANK INTERNATIONAL INDONESIA</t>
  </si>
  <si>
    <t>000093000-PT.BANK IFI</t>
  </si>
  <si>
    <t>000093991-PT.BANK IFI - UUS</t>
  </si>
  <si>
    <t>000095000-BANK MUTIARA Tbk</t>
  </si>
  <si>
    <t>000097000-PT.BANK MAYAPADA INTERNATIONAL Tbk</t>
  </si>
  <si>
    <t>000110000-B.P.D. JABAR BANTEN</t>
  </si>
  <si>
    <t>000110991-B.P.D. JABAR BANTEN - UUS</t>
  </si>
  <si>
    <t>000111000-B.P.D. DKI JAKARTA</t>
  </si>
  <si>
    <t>000111991-B.P.D. DKI JAKARTA - UUS</t>
  </si>
  <si>
    <t>000112000-B.P.D. YOGYAKARTA</t>
  </si>
  <si>
    <t>000112991-B.P.D. YOGYAKARTA - UUS</t>
  </si>
  <si>
    <t>000113000-B.P.D. JAWA TENGAH</t>
  </si>
  <si>
    <t>000114000-B.P.D. JAWA TIMUR</t>
  </si>
  <si>
    <t>000114991-B.P.D. JAWA TIMUR - UUS</t>
  </si>
  <si>
    <t>000115000-B.P.D. JAMBI</t>
  </si>
  <si>
    <t>000116000-B.P.D. ACEH</t>
  </si>
  <si>
    <t>000116991-B.P.D. ACEH - UUS</t>
  </si>
  <si>
    <t>000117000-B.P.D. SUMATERA UTARA</t>
  </si>
  <si>
    <t>000117990-B.P.D. SUMATERA UTARA - UUS</t>
  </si>
  <si>
    <t>000118000-B.P.D. SUMATERA BARAT</t>
  </si>
  <si>
    <t>000118991-B.P.D. SUMATERA BARAT - UUS</t>
  </si>
  <si>
    <t>000119000-B.P.D. RIAU</t>
  </si>
  <si>
    <t>000119990-B.P.D. RIAU - UUS</t>
  </si>
  <si>
    <t>000120000-B.P.D. SUMSEL dan BABEL</t>
  </si>
  <si>
    <t>000120991-B.P.D. SUMSEL dan BABEL - UUS</t>
  </si>
  <si>
    <t>000121000-B.P.D. LAMPUNG</t>
  </si>
  <si>
    <t>000122000-B.P.D. KALIMANTAN SELATAN</t>
  </si>
  <si>
    <t>000122991-B.P.D. KALIMANTAN SELATAN - UUS</t>
  </si>
  <si>
    <t>000123000-B.P.D. KALIMANTAN BARAT</t>
  </si>
  <si>
    <t>000123991-B.P.D. KALIMANTAN BARAT - UUS</t>
  </si>
  <si>
    <t>000124000-B.P.D. KALIMANTAN TIMUR</t>
  </si>
  <si>
    <t>000124991-B.P.D. KALIMANTAN TIMUR - UUS</t>
  </si>
  <si>
    <t>000125000-B.P.D. KALIMANTAN TENGAH</t>
  </si>
  <si>
    <t>000126000-B.P.D. SULAWESI SELATAN</t>
  </si>
  <si>
    <t>000126991-B.P.D  SULAWESI SELATAN - UUS</t>
  </si>
  <si>
    <t>000127000-B.P.D. SULAWESI UTARA</t>
  </si>
  <si>
    <t>000128000-B.P.D. NUSA TENGGARA BARAT</t>
  </si>
  <si>
    <t>000128991-B.P.D. NUSA TENGGARA BARAT - UUS</t>
  </si>
  <si>
    <t>000129000-B.P.D. BALI</t>
  </si>
  <si>
    <t>000130000-B.P.D. NUSA TENGGARA TIMUR</t>
  </si>
  <si>
    <t>000131000-B.P.D. MALUKU</t>
  </si>
  <si>
    <t>000132000-B.P.D. PAPUA</t>
  </si>
  <si>
    <t>000133000-B.P.D. BENGKULU</t>
  </si>
  <si>
    <t>000134000-B.P.D. SULAWESI TENGAH</t>
  </si>
  <si>
    <t>000135000-B.P.D. SULAWESI TENGGARA</t>
  </si>
  <si>
    <t>000145000-PT.BANK NUSANTARA PARAHYANGAN Tbk</t>
  </si>
  <si>
    <t>000146000-PT.BANK SWADESI Tbk</t>
  </si>
  <si>
    <t>000147000-PT.BANK MUAMALAT INDONESIA</t>
  </si>
  <si>
    <t>000151000-PT.BANK MESTIKA DHARMA</t>
  </si>
  <si>
    <t>000152000-PT.BANK METRO EKSPRES</t>
  </si>
  <si>
    <t>000153000-PT.BANK SINARMAS</t>
  </si>
  <si>
    <t>000153991-BANK SINARMAS - UUS</t>
  </si>
  <si>
    <t>000157000-PT.BANK MASPION INDONESIA</t>
  </si>
  <si>
    <t>000159000-PT.BANK HAGAKITA</t>
  </si>
  <si>
    <t>000161000-PT.BANK GANESHA</t>
  </si>
  <si>
    <t>000162000-PT.BANK WINDU KENTJANA</t>
  </si>
  <si>
    <t xml:space="preserve">000164000-PT. ICBC INDONESIA </t>
  </si>
  <si>
    <t>000166000-PT.BANK HARMONI INTERNATIONAL</t>
  </si>
  <si>
    <t>000167000-PT.BANK KESAWAN Tbk</t>
  </si>
  <si>
    <t>000200000-PT.BANK TABUNGAN NEGARA (PERSERO)</t>
  </si>
  <si>
    <t>000200991-PT.BANK TABUNGAN NEGARA (PERSERO) - UUS</t>
  </si>
  <si>
    <t>000212000-PT.BANK HS 1906</t>
  </si>
  <si>
    <t>000213000-PT.B.T. PENSIUNAN NASIONAL</t>
  </si>
  <si>
    <t>000250340-PT. GE FINANCE INDONESIA</t>
  </si>
  <si>
    <t>000281010-DINERS CLUB INTERNASIONAL INDONESIA</t>
  </si>
  <si>
    <t>000405000-PT.BANK VICTORIA SYARIAH</t>
  </si>
  <si>
    <t>000422000-BANK BRISYARIAH</t>
  </si>
  <si>
    <t>000425000-B.P.D. JAWA BARAT BANTEN SYARIAH</t>
  </si>
  <si>
    <t>000426000-PT.BANK MEGA TBK</t>
  </si>
  <si>
    <t>000427000-BANK BNI SYARIAH</t>
  </si>
  <si>
    <t>000441000-PT.BANK BUKOPIN</t>
  </si>
  <si>
    <t>000441991-PT.BANK BUKOPIN - UUS</t>
  </si>
  <si>
    <t>000451000-BANK SYARIAH MANDIRI</t>
  </si>
  <si>
    <t>000459000-PT.BANK BISNIS INTERNASIONAL</t>
  </si>
  <si>
    <t>000466000-PT.BANK ANDARA</t>
  </si>
  <si>
    <t>000472000-PT.BANK JASA JAKARTA</t>
  </si>
  <si>
    <t>000484000-PT.BANK HANA</t>
  </si>
  <si>
    <t>000485000-PT.BANK ICB BUMIPUTERA Tbk</t>
  </si>
  <si>
    <t>000490000-PT.BANK YUDHA BHAKTI</t>
  </si>
  <si>
    <t>000491000-PT.BANK MITRANIAGA</t>
  </si>
  <si>
    <t>000494000-PT.BANK AGRO NIAGA</t>
  </si>
  <si>
    <t>000498000-PT.BANK SBI INDONESIA</t>
  </si>
  <si>
    <t>000501000-PT.BANK ROYAL INDONESIA</t>
  </si>
  <si>
    <t>000503000-PT. BANK NATIONALNOBU</t>
  </si>
  <si>
    <t>000506000-BANK SYARIAH MEGA INDONESIA</t>
  </si>
  <si>
    <t>000513000-PT.BANK INA PERDANA</t>
  </si>
  <si>
    <t>000517000-BANK PANIN SYARIAH</t>
  </si>
  <si>
    <t>000520000-PT.PRIMA MASTER BANK</t>
  </si>
  <si>
    <t>000521000-PT.BANK SYARIAH BUKOPIN</t>
  </si>
  <si>
    <t>000523000-PT.DIPO INTERNATIONAL BANK</t>
  </si>
  <si>
    <t>000525000-PT.BANK BARCLAYS INDONESIA</t>
  </si>
  <si>
    <t>000526000-PT.LIMAN INTERNATIONAL BANK</t>
  </si>
  <si>
    <t>000531000-PT.ANGLOMAS INTERNASIONAL BANK</t>
  </si>
  <si>
    <t>000535000-PT.BANK KESEJAHTERAAN EKONOMI</t>
  </si>
  <si>
    <t>000536000-PT.BCA SYARIAH</t>
  </si>
  <si>
    <t>000542000-PT.BANK ARTOS INDONESIA</t>
  </si>
  <si>
    <t>000547000-PT.BANK PURBA DANARTA</t>
  </si>
  <si>
    <t>000548000-PT.BANK MULTI ARTA SENTOSA</t>
  </si>
  <si>
    <t>000553000-PT.BANK MAYORA</t>
  </si>
  <si>
    <t>000555000-PT.BANK INDEX SELINDO</t>
  </si>
  <si>
    <t>000558000-PT.BANK EKSEKUTIF INTERNASIONAL Tbk</t>
  </si>
  <si>
    <t>000559000-PT.CENTRATAMA NASIONAL BANK</t>
  </si>
  <si>
    <t>000562000-PT.BANK FAMA INTERNASIONAL</t>
  </si>
  <si>
    <t>000564000-PT.BANK SINAR HARAPAN BALI</t>
  </si>
  <si>
    <t>000566000-PT.BANK VICTORIA INTERNATIONAL Tbk</t>
  </si>
  <si>
    <t>000567000-PT.BANK HARDA INTERNASIONAL</t>
  </si>
  <si>
    <t xml:space="preserve">000600311-BPR KARYAJATNIKA SADAYA </t>
  </si>
  <si>
    <t>000600739-PT BPR DANAGUNG BAKTI</t>
  </si>
  <si>
    <t>000600748-PT BPR DANAGUNG RAMULTI</t>
  </si>
  <si>
    <t>000600825-PT BPR DANAGUNG ABADI</t>
  </si>
  <si>
    <t xml:space="preserve">000601109-BPR EKA BUMI ARTHA </t>
  </si>
  <si>
    <t>000602460-BPR SEMOGA JAYA ARTHA</t>
  </si>
  <si>
    <t>000930000-PT. ARTAJASA PEMBAYARAN ELEKTRONIS</t>
  </si>
  <si>
    <t>000930001-PT. RINTIS SEJAHTERA</t>
  </si>
  <si>
    <t>000930002-PT. DAYA NETWORK LESTARI</t>
  </si>
  <si>
    <t>000930003-PT. INDOPAY MERCHANT SERVICES</t>
  </si>
  <si>
    <t>000930004-PT. MULTI ADIPRAKARSA MANUNGGAL</t>
  </si>
  <si>
    <t>000930005-PT. INTI SENTRAL OPERASI</t>
  </si>
  <si>
    <t>000930007-PT. SKYE SAB INDONESIA</t>
  </si>
  <si>
    <t>000930008-PT. FINNET</t>
  </si>
  <si>
    <t>000930009-MASTERCARD INTERNATIONAL</t>
  </si>
  <si>
    <t xml:space="preserve">000930010-VISA INTERNATIONAL (ASIA PACIFIC), LLC INDONESIA REPRESENTATIVE </t>
  </si>
  <si>
    <t>000930011-JCB INT'L CO. LTD</t>
  </si>
  <si>
    <t>000930012-AMERICAN EXPRESS INTERNATIONAL INC.</t>
  </si>
  <si>
    <t>000930013-PT CHINA UNION PAY INDONESIA</t>
  </si>
  <si>
    <t>000945000-PT.BANK AGRIS</t>
  </si>
  <si>
    <t>000947000-PT.MAYBANK INDOCORP</t>
  </si>
  <si>
    <t>000948000-PT.BANK OCBC INDONESIA</t>
  </si>
  <si>
    <t>000949000-PT.BANK CHINATRUST INDONESIA</t>
  </si>
  <si>
    <t>000950000-PT.BANK COMMONWEALTH</t>
  </si>
  <si>
    <t>000952197-PT. TELEKOMUNIKASI INDONESIA</t>
  </si>
  <si>
    <t>000952280-PT. Indonesia Satellite Corporation (INDOSAT)</t>
  </si>
  <si>
    <t xml:space="preserve">000952690-PT. TELEKOMUNIKASI SELULAR </t>
  </si>
  <si>
    <t>Sandi Pelapor</t>
  </si>
  <si>
    <t>Periode</t>
  </si>
  <si>
    <t>:</t>
  </si>
  <si>
    <t>Jenis aset</t>
  </si>
  <si>
    <t>103002T-Pendapatan Travel - Perjalanan non bisnis</t>
  </si>
  <si>
    <t>104000T-Pendapatan Pendidikan/pelatihan</t>
  </si>
  <si>
    <t>105102T-Pendapatan telekomunikasi</t>
  </si>
  <si>
    <t>109100T-Pendapatan informasi</t>
  </si>
  <si>
    <t>106201T-Pendapatan konstruksi di Indonesia - sampai dengan 1 tahun</t>
  </si>
  <si>
    <t>106202T-Pendapatan konstruksi di Indonesia - lebih dari satu tahun</t>
  </si>
  <si>
    <t>106101T-Pendapatan konstruksi di luar negeri - sampai dengan 1 tahun</t>
  </si>
  <si>
    <t>106102T-Pendapatan konstruksi di luar negeri - lebih dari satu tahun</t>
  </si>
  <si>
    <t>110000T-Pendapatan atas Penggunaan hak kekayaan intelektual</t>
  </si>
  <si>
    <t>112000T-Pendapatan penelitian dan pengembangan</t>
  </si>
  <si>
    <t>112200T-Pendapatan periklanan, penelitian pasar, dan jajak pendapat publik</t>
  </si>
  <si>
    <t>112300T-Pendapatan arsitektur, rekayasa, dan teknik lainnya.</t>
  </si>
  <si>
    <t>112400T-Pendapatan di bidang pengolahan sampah dan polusi, pertanian, dan pertambangan</t>
  </si>
  <si>
    <t>111100T-Pendapatan Operational leasing</t>
  </si>
  <si>
    <t>119900T-Pendapatan bisnis lainnya</t>
  </si>
  <si>
    <t>113000T-Pendapatan dalam bidang seni, budaya, dan rekreasi</t>
  </si>
  <si>
    <t>114000T-Pendapatan atas penyediaaan barang/jasa oleh pemerintah asing</t>
  </si>
  <si>
    <t>118200T-Bunga, dividen dan sejenisnya - Rekening giro dan simpanan, termasuk tabungan dan deposito mudharabah.</t>
  </si>
  <si>
    <t>118300T-Bunga, dividen dan sejenisnya - Pinjaman</t>
  </si>
  <si>
    <t xml:space="preserve">118401T-Bunga, dividen dan sejenisnya - Surat-surat berharga yang diterbitkan oleh penduduk - Sampai dengan satu tahun </t>
  </si>
  <si>
    <t>118402T-Bunga, dividen dan sejenisnya - Surat-surat berharga yang diterbitkan oleh penduduk - Lebih dari satu tahun</t>
  </si>
  <si>
    <t>118500T-Bunga, dividen dan sejenisnya - Gold swap</t>
  </si>
  <si>
    <t>118600T-Pendapatan (Fee) atas transaksi securities lending dan gold loan/deposit</t>
  </si>
  <si>
    <t>116300T-Pendapatan tenaga kerja</t>
  </si>
  <si>
    <t>116400T-Pendapatan sanksi/denda, dan sejenisnya</t>
  </si>
  <si>
    <t>116100T-Beban pajak dan sejenisnya</t>
  </si>
  <si>
    <t xml:space="preserve">116500T-Pendapatan atas hak untuk penggunaan sumber daya alam </t>
  </si>
  <si>
    <t>190100T-Lainnya (jelaskan rinciannya)</t>
  </si>
  <si>
    <t>201600T-Beban Manufaktur</t>
  </si>
  <si>
    <t>203002T-Beban Travel - Perjalanan non bisnis</t>
  </si>
  <si>
    <t>204000T-Beban pendidikan/pelatihan</t>
  </si>
  <si>
    <t>205100T-Beban telekomunikasi</t>
  </si>
  <si>
    <t>206201T-Beban konstruksi di Indonesia - sampai dengan 1 tahun</t>
  </si>
  <si>
    <t>206202T-Beban konstruksi di Indonesia - lebih dari satu tahun</t>
  </si>
  <si>
    <t>206101T-Beban konstruksi di luar negeri - sampai dengan 1 tahun</t>
  </si>
  <si>
    <t>206102T-Beban konstruksi di luar negeri - lebih dari satu tahun</t>
  </si>
  <si>
    <t>210000T-Beban atas penggunaan hak kekayaan intelektual</t>
  </si>
  <si>
    <t>212200T-Beban periklanan, penelitian pasar, dan jajak pendapat publik</t>
  </si>
  <si>
    <t>212300T-Beban arsitektur, rekayasa, dan teknik lainnya.</t>
  </si>
  <si>
    <t>212400T-Beban di bidang pengolahan sampah dan polusi, pertanian, dan pertambangan</t>
  </si>
  <si>
    <t>211100T-Beban Operational leasing</t>
  </si>
  <si>
    <t>214000T-Beban atas barang/jasa yang diberikan ke pemerintah asing</t>
  </si>
  <si>
    <t xml:space="preserve">218101T-Bunga, dividen dan sejenisnya - Surat-surat berharga yang diterbitkan oleh bukan penduduk - Sampai dengan satu tahun </t>
  </si>
  <si>
    <t>218102T-Bunga, dividen dan sejenisnya - Surat-surat berharga yang diterbitkan oleh bukan penduduk - Lebih dari satu tahun</t>
  </si>
  <si>
    <t>218200T-Bunga, dividen dan sejenisnya - Rekening giro dan simpanan, termasuk tabungan dan deposito mudharabah.</t>
  </si>
  <si>
    <t>218300T-Bunga, dividen dan sejenisnya - Pinjaman</t>
  </si>
  <si>
    <t>218500T-Bunga, dividen dan sejenisnya - Gold swap</t>
  </si>
  <si>
    <t>218600T-Beban atas transaksi securities lending dan gold loan/deposit</t>
  </si>
  <si>
    <t>216300T-Beban tenaga kerja</t>
  </si>
  <si>
    <t>216400T-Beban sanksi/denda, dan sejenisnya</t>
  </si>
  <si>
    <t>216100T-Beban pajak dan sejenisnya</t>
  </si>
  <si>
    <t>216500T-Beban atas hak untuk penggunaan sumber daya alam</t>
  </si>
  <si>
    <t>290100T-Lainnya (jelaskan rinciannya)</t>
  </si>
  <si>
    <t>Jenis transaksi Hibah</t>
  </si>
  <si>
    <t>611-Saham Listed</t>
  </si>
  <si>
    <t>612-Saham Unlisted</t>
  </si>
  <si>
    <t>613-Saham Lainnya (termasuk saham repo)</t>
  </si>
  <si>
    <t>811-Money market fund shares/units</t>
  </si>
  <si>
    <t>812-Other investment fund shares/units</t>
  </si>
  <si>
    <t>711-Promissory Notes</t>
  </si>
  <si>
    <t>712-Commercial Papers</t>
  </si>
  <si>
    <t>713-T-Bills / T-Notes</t>
  </si>
  <si>
    <t>714-Banker's Acceptance</t>
  </si>
  <si>
    <t>715-Obligasi / Bonds</t>
  </si>
  <si>
    <t>716-Floating Rate Notes / FRN</t>
  </si>
  <si>
    <t>717-Medium Term Notes / MTN</t>
  </si>
  <si>
    <t>718-Surat Utang Repo</t>
  </si>
  <si>
    <t>719-Surat Utang Lainnya</t>
  </si>
  <si>
    <t>720-Certificate of Deposit</t>
  </si>
  <si>
    <t>721-Negotiable Certificate Deposit</t>
  </si>
  <si>
    <t>722-Floating Rate Certificate of Deposit</t>
  </si>
  <si>
    <t>723-Asset Backed Securities</t>
  </si>
  <si>
    <t>599-Surat Berharga Lainnya</t>
  </si>
  <si>
    <t>911000A-posisi akhir Tagihan Komitmen Fasilitas Pinjaman yang belum ditarik</t>
  </si>
  <si>
    <t>912000A-posisi akhir Tagihan Komitmen Posisi Pembelian spot dan derivatif yang masih berjalan</t>
  </si>
  <si>
    <t>911000K-posisi akhir Kewajiban Komitmen Fasilitas Pinjaman yang belum ditarik</t>
  </si>
  <si>
    <t>912000K-posisi akhir Kewajiban Komitmen Posisi Pembelian spot dan derivatif yang masih berjalan</t>
  </si>
  <si>
    <t>921000A-posisi akhir Tagihan Kontinjensi Garansi yang diterima</t>
  </si>
  <si>
    <t>921000K-posisi akhir Kewajiban Kontinjensi Garansi yang diterima</t>
  </si>
  <si>
    <t>311000A-Koreksi Debet Tagihan Komitmen Fasilitas Pinjaman yang belum ditarik</t>
  </si>
  <si>
    <t>312000A-Koreksi Debet Tagihan Komitmen Posisi Pembelian spot dan derivatif yang masih berjalan</t>
  </si>
  <si>
    <t>311000K-Koreksi Debet Kewajiban Komitmen Fasilitas Pinjaman yang belum ditarik</t>
  </si>
  <si>
    <t>312000K-Koreksi Debet Kewajiban Komitmen Posisi Pembelian spot dan derivatif yang masih berjalan</t>
  </si>
  <si>
    <t>321000A-Koreksi Debet Tagihan Kontinjensi Garansi yang diterima</t>
  </si>
  <si>
    <t>321000K-Koreksi Debet Kewajiban Kontinjensi Garansi yang diterima</t>
  </si>
  <si>
    <t>411000A-Koreksi Kredit Tagihan Komitmen Fasilitas Pinjaman yang belum ditarik</t>
  </si>
  <si>
    <t>412000A-Koreksi Kredit Tagihan Komitmen Posisi Pembelian spot dan derivatif yang masih berjalan</t>
  </si>
  <si>
    <t>411000K-Koreksi Kredit Kewajiban Komitmen Fasilitas Pinjaman yang belum ditarik</t>
  </si>
  <si>
    <t>412000K-Koreksi Kredit Kewajiban Komitmen Posisi Pembelian spot dan derivatif yang masih berjalan</t>
  </si>
  <si>
    <t>421000A-Koreksi Kredit Tagihan Kontinjensi Garansi yang diterima</t>
  </si>
  <si>
    <t>421000K-Koreksi Kredit Kewajiban Kontinjensi Garansi yang diterima</t>
  </si>
  <si>
    <t>21-Premi Dibayar Dimuka (Prepaid Premiums)</t>
  </si>
  <si>
    <t>22-Piutang Premi</t>
  </si>
  <si>
    <t>23-Piutang Reasuransi</t>
  </si>
  <si>
    <t>24-Piutang Retrosesi</t>
  </si>
  <si>
    <t xml:space="preserve">25-Piutang Klaim (Claims Receivable) </t>
  </si>
  <si>
    <t>31-Piutang Nasabah</t>
  </si>
  <si>
    <t>32-Efek Dibeli Dengan Janji Dijual Kembali (Reverse Repo)</t>
  </si>
  <si>
    <t>33-Piutang Margin</t>
  </si>
  <si>
    <t>34-Piutang perusahaan efek</t>
  </si>
  <si>
    <t>35-Rekening nasabah</t>
  </si>
  <si>
    <t>6170010.piutang deviden saham listed</t>
  </si>
  <si>
    <t>6170020.piutang deviden saham unlisted</t>
  </si>
  <si>
    <t>6170030.piutang deviden lainnya</t>
  </si>
  <si>
    <t>6171010.laba ditahan saham listed</t>
  </si>
  <si>
    <t>6171020.laba ditahan saham unlisted</t>
  </si>
  <si>
    <t>6171030.laba ditahan lainnya</t>
  </si>
  <si>
    <t>6170040.saham listed</t>
  </si>
  <si>
    <t>6170050.saham unlisted</t>
  </si>
  <si>
    <t>6170060.lainnya (penyertaan dalam bentuk bukan saham)</t>
  </si>
  <si>
    <t>116500T-Pendapatan atas hak untuk penggunaan sumber daya alam</t>
  </si>
  <si>
    <t xml:space="preserve">126400T-Perdagangan valuta asing - Transaksi forward: - antar valuta asing </t>
  </si>
  <si>
    <t xml:space="preserve">113900T-Kelebihan pembayaran (refund) serta kelebihan pengakuan utang/piutang </t>
  </si>
  <si>
    <t>AED-United Arab Emirates, Dirhams</t>
  </si>
  <si>
    <t>AFN-Afghanistan, Afghanis</t>
  </si>
  <si>
    <t>ALL-Albania, Leke</t>
  </si>
  <si>
    <t>AMD-Armenia, Drams</t>
  </si>
  <si>
    <t>ANG-Netherlands Antilles, Guilders (also called Florins)</t>
  </si>
  <si>
    <t>AOA-Angola, Kwanza</t>
  </si>
  <si>
    <t>ARS-Argentina, Pesos</t>
  </si>
  <si>
    <t>AUD-Australia, Dollars</t>
  </si>
  <si>
    <t>AWG-Aruba, Guilders (also called Florins)</t>
  </si>
  <si>
    <t>AZN-Azerbaijan, New Manats</t>
  </si>
  <si>
    <t>BAM-Bosnia and Herzegovina, Convertible Marka</t>
  </si>
  <si>
    <t>BBD-Barbados, Dollars</t>
  </si>
  <si>
    <t>BDT-Bangladesh, Taka</t>
  </si>
  <si>
    <t>BGN-Bulgaria, Leva</t>
  </si>
  <si>
    <t>BHD-Bahrain, Dinars</t>
  </si>
  <si>
    <t>BIF-Burundi, Francs</t>
  </si>
  <si>
    <t>BMD-Bermuda, Dollars</t>
  </si>
  <si>
    <t>BND-Brunei Darussalam, Dollars</t>
  </si>
  <si>
    <t>BOB-Bolivia, Bolivianos</t>
  </si>
  <si>
    <t>BRL-Brazil, Brazil Real</t>
  </si>
  <si>
    <t>BSD-Bahamas, Dollars</t>
  </si>
  <si>
    <t>BTN-Bhutan, Ngultrum</t>
  </si>
  <si>
    <t>BWP-Botswana, Pulas</t>
  </si>
  <si>
    <t>BYR-Belarus, Rubles</t>
  </si>
  <si>
    <t>BZD-Belize, Dollars</t>
  </si>
  <si>
    <t>CAD-Canada, Dollars</t>
  </si>
  <si>
    <t>CDF-Congo/Kinshasa, Congolese Francs</t>
  </si>
  <si>
    <t>CHF-Switzerland, Francs</t>
  </si>
  <si>
    <t>CLP-Chile, Pesos</t>
  </si>
  <si>
    <t>CNY-China, Yuan Renminbi</t>
  </si>
  <si>
    <t>COP-Colombia, Pesos</t>
  </si>
  <si>
    <t>CRC-Costa Rica, Colones</t>
  </si>
  <si>
    <t>CUP-Cuba, Pesos</t>
  </si>
  <si>
    <t>CVE-Cape Verde, Escudos</t>
  </si>
  <si>
    <t>CYP-Cyprus, Pounds (expires 2008-Jan-31)</t>
  </si>
  <si>
    <t>CZK-Czech Republic, Koruny</t>
  </si>
  <si>
    <t>DJF-Djibouti, Francs</t>
  </si>
  <si>
    <t>DKK-Denmark, Kroner</t>
  </si>
  <si>
    <t>DOP-Dominican Republic, Pesos</t>
  </si>
  <si>
    <t>DZD-Algeria, Algeria Dinars</t>
  </si>
  <si>
    <t>EEK-Estonia, Krooni</t>
  </si>
  <si>
    <t>EGP-Egypt, Pounds</t>
  </si>
  <si>
    <t>ERN-Eritrea, Nakfa</t>
  </si>
  <si>
    <t>ETB-Ethiopia, Birr</t>
  </si>
  <si>
    <t>EUR-Euro Member Countries, Euro</t>
  </si>
  <si>
    <t>FJD-Fiji, Dollars</t>
  </si>
  <si>
    <t>FKP-Falkland Islands (Malvinas), Pounds</t>
  </si>
  <si>
    <t>GBP-United Kingdom, Pounds</t>
  </si>
  <si>
    <t>GEL-Georgia, Lari</t>
  </si>
  <si>
    <t>GGP-Guernsey, Pounds</t>
  </si>
  <si>
    <t>GHS-Ghana, Cedis</t>
  </si>
  <si>
    <t>GIP-Gibraltar, Pounds</t>
  </si>
  <si>
    <t>GMD-Gambia, Dalasi</t>
  </si>
  <si>
    <t>GNF-Guinea, Francs</t>
  </si>
  <si>
    <t>GTQ-Guatemala, Quetzales</t>
  </si>
  <si>
    <t>GYD-Guyana, Dollars</t>
  </si>
  <si>
    <t>HKD-Hong Kong, Dollars</t>
  </si>
  <si>
    <t>HNL-Honduras, Lempiras</t>
  </si>
  <si>
    <t>HRK-Croatia, Kuna</t>
  </si>
  <si>
    <t>HTG-Haiti, Gourdes</t>
  </si>
  <si>
    <t>HUF-Hungary, Forint</t>
  </si>
  <si>
    <t>IDR-Indonesia, Rupiah</t>
  </si>
  <si>
    <t>ILS-Israel, New Shekels</t>
  </si>
  <si>
    <t>IMP-Isle of Man, Pounds</t>
  </si>
  <si>
    <t>INR-India, Rupees</t>
  </si>
  <si>
    <t>IQD-Iraq, Dinars</t>
  </si>
  <si>
    <t>IRR-Iran, Rials</t>
  </si>
  <si>
    <t>ISK-Iceland, Kronur</t>
  </si>
  <si>
    <t>JEP-Jersey, Pounds</t>
  </si>
  <si>
    <t>JMD-Jamaica, Dollars</t>
  </si>
  <si>
    <t>JOD-Jordan, Dinars</t>
  </si>
  <si>
    <t>JPY-Japan, Yen</t>
  </si>
  <si>
    <t>KES-Kenya, Shillings</t>
  </si>
  <si>
    <t>KGS-Kyrgyzstan, Soms</t>
  </si>
  <si>
    <t>KHR-Cambodia, Riels</t>
  </si>
  <si>
    <t>KMF-Comoros, Francs</t>
  </si>
  <si>
    <t>KPW-Korea (North), Won</t>
  </si>
  <si>
    <t>KRW-Korea (South), Won</t>
  </si>
  <si>
    <t>KWD-Kuwait, Dinars</t>
  </si>
  <si>
    <t>KYD-Cayman Islands, Dollars</t>
  </si>
  <si>
    <t>KZT-Kazakhstan, Tenge</t>
  </si>
  <si>
    <t>LAK-Laos, Kips</t>
  </si>
  <si>
    <t>LBP-Lebanon, Pounds</t>
  </si>
  <si>
    <t>LKR-Sri Lanka, Rupees</t>
  </si>
  <si>
    <t>LRD-Liberia, Dollars</t>
  </si>
  <si>
    <t>LSL-Lesotho, Maloti</t>
  </si>
  <si>
    <t>LTL-Lithuania, Litai</t>
  </si>
  <si>
    <t>LVL-Latvia, Lati</t>
  </si>
  <si>
    <t>LYD-Libya, Dinars</t>
  </si>
  <si>
    <t>MAD-Morocco, Dirhams</t>
  </si>
  <si>
    <t>MDL-Moldova, Lei</t>
  </si>
  <si>
    <t>MGA-Madagascar, Ariary</t>
  </si>
  <si>
    <t>MKD-Macedonia, Denars</t>
  </si>
  <si>
    <t>MMK-Myanmar (Burma), Kyats</t>
  </si>
  <si>
    <t>MNT-Mongolia, Tugriks</t>
  </si>
  <si>
    <t>MOP-Macau, Patacas</t>
  </si>
  <si>
    <t>MRO-Mauritania, Ouguiyas</t>
  </si>
  <si>
    <t>MTL-Malta, Liri (expires 2008-Jan-31)</t>
  </si>
  <si>
    <t>MUR-Mauritius, Rupees</t>
  </si>
  <si>
    <t>MVR-Maldives (Maldive Islands), Rufiyaa</t>
  </si>
  <si>
    <t>MWK-Malawi, Kwachas</t>
  </si>
  <si>
    <t>MXN-Mexico, Pesos</t>
  </si>
  <si>
    <t>MYR-Malaysia, Ringgits</t>
  </si>
  <si>
    <t>MZN-Mozambique, Meticais</t>
  </si>
  <si>
    <t>NAD-Namibia, Dollars</t>
  </si>
  <si>
    <t>NGN-Nigeria, Nairas</t>
  </si>
  <si>
    <t>NIO-Nicaragua, Cordobas</t>
  </si>
  <si>
    <t>NOK-Norway, Krone</t>
  </si>
  <si>
    <t>NPR-Nepal, Nepal Rupees</t>
  </si>
  <si>
    <t>NZD-New Zealand, Dollars</t>
  </si>
  <si>
    <t>OMR-Oman, Rials</t>
  </si>
  <si>
    <t>PAB-Panama, Balboa</t>
  </si>
  <si>
    <t>PEN-Peru, Nuevos Soles</t>
  </si>
  <si>
    <t>PGK-Papua New Guinea, Kina</t>
  </si>
  <si>
    <t>PHP-Philippines, Pesos</t>
  </si>
  <si>
    <t>PKR-Pakistan, Rupees</t>
  </si>
  <si>
    <t>PLN-Poland, Zlotych</t>
  </si>
  <si>
    <t>PYG-Paraguay, Guarani</t>
  </si>
  <si>
    <t>QAR-Qatar, Rials</t>
  </si>
  <si>
    <t>RON-Romania, New Lei</t>
  </si>
  <si>
    <t>RSD-Serbia, Dinars</t>
  </si>
  <si>
    <t>RUB-Russia, Rubles</t>
  </si>
  <si>
    <t>RWF-Rwanda, Rwanda Francs</t>
  </si>
  <si>
    <t>SAR-Saudi Arabia, Riyals</t>
  </si>
  <si>
    <t>SBD-Solomon Islands, Dollars</t>
  </si>
  <si>
    <t>SCR-Seychelles, Rupees</t>
  </si>
  <si>
    <t>SDG-Sudan, Pounds</t>
  </si>
  <si>
    <t>SEK-Sweden, Kronor</t>
  </si>
  <si>
    <t>SGD-Singapore, Dollars</t>
  </si>
  <si>
    <t>SHP-Saint Helena, Pounds</t>
  </si>
  <si>
    <t>SLL-Sierra Leone, Leones</t>
  </si>
  <si>
    <t>SOS-Somalia, Shillings</t>
  </si>
  <si>
    <t>SPL-Seborga, Luigini</t>
  </si>
  <si>
    <t>SRD-Suriname, Dollars</t>
  </si>
  <si>
    <t>STD-São Tome and Principe, Dobras</t>
  </si>
  <si>
    <t>SVC-El Salvador, Colones</t>
  </si>
  <si>
    <t>SYP-Syria, Pounds</t>
  </si>
  <si>
    <t>SZL-Swaziland, Emalangeni</t>
  </si>
  <si>
    <t>THB-Thailand, Baht</t>
  </si>
  <si>
    <t>TJS-Tajikistan, Somoni</t>
  </si>
  <si>
    <t>TMM-Turkmenistan, Manats</t>
  </si>
  <si>
    <t>TND-Tunisia, Dinars</t>
  </si>
  <si>
    <t>TOP-Tonga, Pa'anga</t>
  </si>
  <si>
    <t>TRY-Turkey, New Lira</t>
  </si>
  <si>
    <t>TTD-Trinidad and Tobago, Dollars</t>
  </si>
  <si>
    <t>TVD-Tuvalu, Tuvalu Dollars</t>
  </si>
  <si>
    <t>TWD-Taiwan, New Dollars</t>
  </si>
  <si>
    <t>TZS-Tanzania, Shillings</t>
  </si>
  <si>
    <t>UAH-Ukraine, Hryvnia</t>
  </si>
  <si>
    <t>UGX-Uganda, Shillings</t>
  </si>
  <si>
    <t>USD-United States of America, Dollars</t>
  </si>
  <si>
    <t>UYU-Uruguay, Pesos</t>
  </si>
  <si>
    <t>UZS-Uzbekistan, Sums</t>
  </si>
  <si>
    <t>VEB-Venezuela, Bolivares (expires 2008-Jun-30)</t>
  </si>
  <si>
    <t>VEF-Venezuela, Bolivares Fuertes</t>
  </si>
  <si>
    <t>VND-Viet Nam, Dong</t>
  </si>
  <si>
    <t>VUV-Vanuatu, Vatu</t>
  </si>
  <si>
    <t>WST-Samoa, Tala</t>
  </si>
  <si>
    <t>XAF-Communauté Financière Africaine BEAC, Francs</t>
  </si>
  <si>
    <t>XAG-Silver, Ounces</t>
  </si>
  <si>
    <t>XAU-Gold, Ounces</t>
  </si>
  <si>
    <t>XCD-East Caribbean Dollars</t>
  </si>
  <si>
    <t>XDR-International Monetary Fund (IMF) Special Drawing Rights</t>
  </si>
  <si>
    <t>XOF-Communauté Financière Africaine BCEAO, Francs</t>
  </si>
  <si>
    <t>XPD-Palladium Ounces</t>
  </si>
  <si>
    <t>XPF-Comptoirs Français du Pacifique Francs</t>
  </si>
  <si>
    <t>XPT-Platinum, Ounces</t>
  </si>
  <si>
    <t>YER-Yemen, Rials</t>
  </si>
  <si>
    <t>ZAR-South Africa, Rand</t>
  </si>
  <si>
    <t>ZMK-Zambia, Kwacha</t>
  </si>
  <si>
    <t>ZWD-Zimbabwe, Zimbabwe Dollars</t>
  </si>
  <si>
    <t>126600A-Option</t>
  </si>
  <si>
    <t>126600K-Option</t>
  </si>
  <si>
    <t>226600A-Option</t>
  </si>
  <si>
    <t>226600K-Option</t>
  </si>
  <si>
    <t>326600A-Option</t>
  </si>
  <si>
    <t>326600K-Option</t>
  </si>
  <si>
    <t>426600A-Option</t>
  </si>
  <si>
    <t>426600K-Option</t>
  </si>
  <si>
    <t>526600A-Option</t>
  </si>
  <si>
    <t>526600K-Option</t>
  </si>
  <si>
    <t>626600A-Option</t>
  </si>
  <si>
    <t>626600K-Option</t>
  </si>
  <si>
    <t>119201A-debet Tanah</t>
  </si>
  <si>
    <t>119202A-debet Bangunan/Gedung</t>
  </si>
  <si>
    <t>219201A-kredit Tanah</t>
  </si>
  <si>
    <t>219202A-kredit Bangunan/Gedung</t>
  </si>
  <si>
    <t>519201A-perubahan lain debet Tanah</t>
  </si>
  <si>
    <t>519202A-perubahan lain debet Bangunan/Gedung</t>
  </si>
  <si>
    <t>619201A-perubahan lain kredit Tanah</t>
  </si>
  <si>
    <t>619202A-perubahan lain kredit Bangunan/Gedung</t>
  </si>
  <si>
    <t>11-Asuransi Jiwa</t>
  </si>
  <si>
    <t>21-Freight</t>
  </si>
  <si>
    <t>22-Lainnya</t>
  </si>
  <si>
    <t>31-Reasuransi</t>
  </si>
  <si>
    <t>31-Saham Listed</t>
  </si>
  <si>
    <t>32-Saham Unlisted</t>
  </si>
  <si>
    <t>33-Lainnya (penyertaan dalam bentuk bukan saham)</t>
  </si>
  <si>
    <t>01-piutang deviden saham listed</t>
  </si>
  <si>
    <t>02-piutang deviden saham unlisted</t>
  </si>
  <si>
    <t>03-piutang deviden lainnya</t>
  </si>
  <si>
    <t>11-laba ditahan saham listed</t>
  </si>
  <si>
    <t>12-laba ditahan saham unlisted</t>
  </si>
  <si>
    <t>13-laba ditahan lainnya</t>
  </si>
  <si>
    <t>10</t>
  </si>
  <si>
    <t>11</t>
  </si>
  <si>
    <t>12</t>
  </si>
  <si>
    <t>Format Tahun dan Bulan</t>
  </si>
  <si>
    <t>1-Spot</t>
  </si>
  <si>
    <t>3-Forward/Futures</t>
  </si>
  <si>
    <t>5-Swap</t>
  </si>
  <si>
    <t>6-Option</t>
  </si>
  <si>
    <t>9 Digit</t>
  </si>
  <si>
    <t>Tahun</t>
  </si>
  <si>
    <t>Bulan</t>
  </si>
  <si>
    <t>1-Tanah</t>
  </si>
  <si>
    <t>2-Gedung/Bangunan</t>
  </si>
  <si>
    <t>Periode:</t>
  </si>
  <si>
    <t>120101K-Debet cash call</t>
  </si>
  <si>
    <t>120102K-Debet pelepasan</t>
  </si>
  <si>
    <t>217000K-Kredit NCS</t>
  </si>
  <si>
    <t>220101K-kredit cost recovery</t>
  </si>
  <si>
    <t>220102K-kredit pengambilalihan</t>
  </si>
  <si>
    <t>520101K-perubahan lain debet cash call</t>
  </si>
  <si>
    <t>520102K-perubahan lain debet pelepasan</t>
  </si>
  <si>
    <t>620101K-perubahan lain kredit cost recovery</t>
  </si>
  <si>
    <t>620102K-perubahan lain kredit pengambilalihan</t>
  </si>
  <si>
    <t>1-Inflow/Incoming</t>
  </si>
  <si>
    <t>2-Outflow/Outcoming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</si>
  <si>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</si>
  <si>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</si>
  <si>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</si>
  <si>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</si>
  <si>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</si>
  <si>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</si>
  <si>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</si>
  <si>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</si>
  <si>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</si>
  <si>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</si>
  <si>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</si>
  <si>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</si>
  <si>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</si>
  <si>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</si>
  <si>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</si>
  <si>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</si>
  <si>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</si>
  <si>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</si>
  <si>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</si>
  <si>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01-Kas dalam valas</t>
  </si>
  <si>
    <t>02-Simpanan (Tabungan, deposito dan simpanan lainnya, kecuali giro) *)</t>
  </si>
  <si>
    <t>03-Premi asuransi jiwa dibayar dimuka (untuk perusahaan non asuransi)</t>
  </si>
  <si>
    <t>04-Premi asuransi freight dibayar dimuka (untuk perusahaan non asuransi)</t>
  </si>
  <si>
    <t>05-Premi asuransi nonjiwa selain freight dibayar dimuka (untuk perusahaan non asuransi)</t>
  </si>
  <si>
    <t>06-Piutang klaim asuransi jiwa (untuk perusahaan non asuransi)</t>
  </si>
  <si>
    <t>07-Piutang klaim asuransi freight (untuk perusahaan non asuransi)</t>
  </si>
  <si>
    <t>08-Piutang klaim asuransi nonjiwa selain freight (untuk perusahaan non asuransi)</t>
  </si>
  <si>
    <t>09-Uang muka (advance payment) untuk pembelian barang dan jasa (termasuk pembelian aktiva tetap)</t>
  </si>
  <si>
    <t>10-Pinjaman yg diberikan *)</t>
  </si>
  <si>
    <t>11-Tagihan lainnya *)</t>
  </si>
  <si>
    <t>12-Bunga Simpanan lainnya berupa tabungan, deposito, dan lainnya</t>
  </si>
  <si>
    <t>13-Bunga Pinjaman yg diberikan</t>
  </si>
  <si>
    <t>14-Bunga Tagihan lainnya (termasuk biaya dibayar dimuka [prepayment] selain untuk asuransi)</t>
  </si>
  <si>
    <t>124021A-Debet Premi Dibayar Dimuka (Prepaid Premiums)</t>
  </si>
  <si>
    <t>124022A-Debet Piutang Premi</t>
  </si>
  <si>
    <t>124023A-Debet Piutang Reasuransi</t>
  </si>
  <si>
    <t>124024A-Debet Piutang Retrosesi</t>
  </si>
  <si>
    <t>124025A-Debet Piutang Klaim (Claims Receivable)</t>
  </si>
  <si>
    <t>224021A-Kredit Premi Dibayar Dimuka (Prepaid Premiums)</t>
  </si>
  <si>
    <t>224022A-Kredit Piutang Premi</t>
  </si>
  <si>
    <t>224023A-Kredit Piutang Reasuransi</t>
  </si>
  <si>
    <t>224024A-Kredit Piutang Retrosesi</t>
  </si>
  <si>
    <t>224025A-Kredit Piutang Klaim (Claims Receivable)</t>
  </si>
  <si>
    <t>524021A-Perubahan Lain Debet Premi Dibayar Dimuka (Prepaid Premiums)</t>
  </si>
  <si>
    <t>524022A-Perubahan Lain Debet Piutang Premi</t>
  </si>
  <si>
    <t>524023A-Perubahan Lain Debet Piutang Reasuransi</t>
  </si>
  <si>
    <t>524024A-Perubahan Lain Debet Piutang Retrosesi</t>
  </si>
  <si>
    <t>524025A-Perubahan Lain Debet Piutang Klaim (Claims Receivable)</t>
  </si>
  <si>
    <t>624021A-Perubahan Lain Kredit Premi Dibayar Dimuka (Prepaid Premiums)</t>
  </si>
  <si>
    <t>624022A-Perubahan Lain Kredit Piutang Premi</t>
  </si>
  <si>
    <t>624023A-Perubahan Lain Kredit Piutang Reasuransi</t>
  </si>
  <si>
    <t>624024A-Perubahan Lain Kredit Piutang Retrosesi</t>
  </si>
  <si>
    <t>624025A-Perubahan Lain Kredit Piutang Klaim (Claims Receivable)</t>
  </si>
  <si>
    <t>124031A-Debet Piutang Nasabah</t>
  </si>
  <si>
    <t>124032A-Debet Efek Dibeli Dengan Janji Dijual Kembali (Reverse Repo)</t>
  </si>
  <si>
    <t>124033A-Debet Piutang Margin</t>
  </si>
  <si>
    <t>124034A-Debet Piutang perusahaan efek</t>
  </si>
  <si>
    <t>124035A-Debet Rekening nasabah</t>
  </si>
  <si>
    <t>224031A-Kredit Piutang Nasabah</t>
  </si>
  <si>
    <t>224032A-Kredit Efek Dibeli Dengan Janji Dijual Kembali (Reverse Repo)</t>
  </si>
  <si>
    <t>224033A-Kredit Piutang Margin</t>
  </si>
  <si>
    <t>224034A-Kredit Piutang perusahaan efek</t>
  </si>
  <si>
    <t>224035A-Kredit Rekening nasabah</t>
  </si>
  <si>
    <t>524031A-Perubahan Lain Debet Piutang Nasabah</t>
  </si>
  <si>
    <t>524032A-Perubahan Lain Debet Efek Dibeli Dengan Janji Dijual Kembali (Reverse Repo)</t>
  </si>
  <si>
    <t>524033A-Perubahan Lain Debet Piutang Margin</t>
  </si>
  <si>
    <t>524034A-Perubahan Lain Debet Piutang perusahaan efek</t>
  </si>
  <si>
    <t xml:space="preserve">524035A-Perubahan Lain Debet Rekening nasabah </t>
  </si>
  <si>
    <t>624031A-Perubahan Lain Kredit Piutang Nasabah</t>
  </si>
  <si>
    <t>624032A-Perubahan Lain Kredit Efek Dibeli Dengan Janji Dijual Kembali (Reverse Repo)</t>
  </si>
  <si>
    <t>624033A-Perubahan Lain Kredit Piutang Margin</t>
  </si>
  <si>
    <t>624034A-Perubahan Lain Kredit Piutang perusahaan efek</t>
  </si>
  <si>
    <t>624035A-Perubahan Lain Kredit Rekening nasabah</t>
  </si>
  <si>
    <t>120611A-Debet Saham Listed</t>
  </si>
  <si>
    <t>120612A-Debet Saham Unlisted</t>
  </si>
  <si>
    <t>120613A-Debet Saham Lainnya (termasuk saham repo)</t>
  </si>
  <si>
    <t>120811A-Debet Money market fund shares/units</t>
  </si>
  <si>
    <t>120812A-Debet Other investment fund shares/units</t>
  </si>
  <si>
    <t>120711A-Debet Promissory Notes</t>
  </si>
  <si>
    <t>120712A-Debet Commercial Papers</t>
  </si>
  <si>
    <t>120713A-Debet T-Bills / T-Notes</t>
  </si>
  <si>
    <t>120714A-Debet Banker's Acceptance</t>
  </si>
  <si>
    <t>120715A-Debet Obligasi / Bonds</t>
  </si>
  <si>
    <t>120716A-Debet Floating Rate Notes / FRN</t>
  </si>
  <si>
    <t>120717A-Debet Medium Term Notes / MTN</t>
  </si>
  <si>
    <t>120718A-Debet Surat Utang Repo</t>
  </si>
  <si>
    <t>120719A-Debet Surat Utang Lainnya</t>
  </si>
  <si>
    <t>120720A-Debet Certificate of Deposit</t>
  </si>
  <si>
    <t>120721A-Debet Negotiable Certificate Deposit</t>
  </si>
  <si>
    <t>120722A-Debet Floating Rate Certificate of Deposit</t>
  </si>
  <si>
    <t>120723A-Debet Asset Backed Securities</t>
  </si>
  <si>
    <t>120599A-Debet Surat Berharga Lainnya</t>
  </si>
  <si>
    <t>220611A-Kredit Saham Listed</t>
  </si>
  <si>
    <t>220612A-Kredit Saham Unlisted</t>
  </si>
  <si>
    <t>220613A-Kredit Saham Lainnya (termasuk saham repo)</t>
  </si>
  <si>
    <t>220811A-Kredit Money market fund shares/units</t>
  </si>
  <si>
    <t>220812A-Kredit Other investment fund shares/units</t>
  </si>
  <si>
    <t>220711A-Kredit Promissory Notes</t>
  </si>
  <si>
    <t>220712A-Kredit Commercial Papers</t>
  </si>
  <si>
    <t>220713A-Kredit T-Bills / T-Notes</t>
  </si>
  <si>
    <t>220714A-Kredit Banker's Acceptance</t>
  </si>
  <si>
    <t>220715A-Kredit Obligasi / Bonds</t>
  </si>
  <si>
    <t>220716A-Kredit Floating Rate Notes / FRN</t>
  </si>
  <si>
    <t>220717A-Kredit Medium Term Notes / MTN</t>
  </si>
  <si>
    <t>220718A-Kredit Surat Utang Repo</t>
  </si>
  <si>
    <t>220719A-Kredit Surat Utang Lainnya</t>
  </si>
  <si>
    <t>220720A-Kredit Certificate of Deposit</t>
  </si>
  <si>
    <t>220721A-Kredit Negotiable Certificate Deposit</t>
  </si>
  <si>
    <t>220722A-Kredit Floating Rate Certificate of Deposit</t>
  </si>
  <si>
    <t>220723A-Kredit Asset Backed Securities</t>
  </si>
  <si>
    <t>220599A-Kredit Surat Berharga Lainnya</t>
  </si>
  <si>
    <t>520611A-Perubahan Lain Debet Saham Listed</t>
  </si>
  <si>
    <t>520612A-Perubahan Lain Debet Saham Unlisted</t>
  </si>
  <si>
    <t>520613A-Perubahan Lain Debet Saham Lainnya (termasuk saham repo)</t>
  </si>
  <si>
    <t>520811A-Perubahan Lain Debet Money market fund shares/units</t>
  </si>
  <si>
    <t>520812A-Perubahan Lain Debet Other investment fund shares/units</t>
  </si>
  <si>
    <t>520711A-Perubahan Lain Debet Promissory Notes</t>
  </si>
  <si>
    <t>520712A-Perubahan Lain Debet Commercial Papers</t>
  </si>
  <si>
    <t>520713A-Perubahan Lain Debet T-Bills / T-Notes</t>
  </si>
  <si>
    <t>520714A-Perubahan Lain Debet Banker's Acceptance</t>
  </si>
  <si>
    <t>520715A-Perubahan Lain Debet Obligasi / Bonds</t>
  </si>
  <si>
    <t>520716A-Perubahan Lain Debet Floating Rate Notes / FRN</t>
  </si>
  <si>
    <t>520717A-Perubahan Lain Debet Medium Term Notes / MTN</t>
  </si>
  <si>
    <t>520718A-Perubahan Lain Debet Surat Utang Repo</t>
  </si>
  <si>
    <t>520719A-Perubahan Lain Debet Surat Utang Lainnya</t>
  </si>
  <si>
    <t>520720A-Perubahan Lain Debet Certificate of Deposit</t>
  </si>
  <si>
    <t>520721A-Perubahan Lain Debet Negotiable Certificate Deposit</t>
  </si>
  <si>
    <t>520722A-Perubahan Lain Debet Floating Rate Certificate of Deposit</t>
  </si>
  <si>
    <t>520723A-Perubahan Lain Debet Asset Backed Securities</t>
  </si>
  <si>
    <t>520599A-Perubahan Lain Debet Surat Berharga Lainnya</t>
  </si>
  <si>
    <t>620611A-Perubahan Lain Kredit Saham Listed</t>
  </si>
  <si>
    <t>620612A-Perubahan Lain Kredit Saham Unlisted</t>
  </si>
  <si>
    <t>620613A-Perubahan Lain Kredit Saham Lainnya (termasuk saham repo)</t>
  </si>
  <si>
    <t>620811A-Perubahan Lain Kredit Money market fund shares/units</t>
  </si>
  <si>
    <t xml:space="preserve">620812A-Perubahan Lain Kredit Other investment fund shares/units </t>
  </si>
  <si>
    <t>620711A-Perubahan Lain Kredit Promissory Notes</t>
  </si>
  <si>
    <t>620712A-Perubahan Lain Kredit Commercial Papers</t>
  </si>
  <si>
    <t>620713A-Perubahan Lain Kredit T-Bills / T-Notes</t>
  </si>
  <si>
    <t>620714A-Perubahan Lain Kredit Banker's Acceptance</t>
  </si>
  <si>
    <t>620715A-Perubahan Lain Kredit Obligasi / Bonds</t>
  </si>
  <si>
    <t>620716A-Perubahan Lain Kredit Floating Rate Notes / FRN</t>
  </si>
  <si>
    <t>620717A-Perubahan Lain Kredit Medium Term Notes / MTN</t>
  </si>
  <si>
    <t>620718A-Perubahan Lain Kredit Surat Utang Repo</t>
  </si>
  <si>
    <t>620719A-Perubahan Lain Kredit Surat Utang Lainnya</t>
  </si>
  <si>
    <t>620720A-Perubahan Lain Kredit Certificate of Deposit</t>
  </si>
  <si>
    <t>620721A-Perubahan Lain Kredit Negotiable Certificate Deposit</t>
  </si>
  <si>
    <t>620722A-Perubahan Lain Kredit Floating Rate Certificate of Deposit</t>
  </si>
  <si>
    <t>620723A-Perubahan Lain Kredit Asset Backed Securities</t>
  </si>
  <si>
    <t>620599A-Perubahan Lain Kredit Surat Berharga Lainnya</t>
  </si>
  <si>
    <t>140001A-debet Kas dalam valas</t>
  </si>
  <si>
    <t>140002A-debet Simpanan (Tabungan, deposito dan simpanan lainnya, kecuali giro) *)</t>
  </si>
  <si>
    <t>140003A-debet Premi asuransi jiwa dibayar dimuka (untuk perusahaan non asuransi)</t>
  </si>
  <si>
    <t>140004A-debet Premi asuransi freight dibayar dimuka (untuk perusahaan non asuransi)</t>
  </si>
  <si>
    <t>140005A-debet Premi asuransi nonjiwa selain freight dibayar dimuka (untuk perusahaan non asuransi)</t>
  </si>
  <si>
    <t>140006A-debet Piutang klaim asuransi jiwa (untuk perusahaan non asuransi)</t>
  </si>
  <si>
    <t>140007A-debet Piutang klaim asuransi freight (untuk perusahaan non asuransi)</t>
  </si>
  <si>
    <t>140008A-debet Piutang klaim asuransi nonjiwa selain freight (untuk perusahaan non asuransi)</t>
  </si>
  <si>
    <t>140009A-debet Uang muka (advance payment) untuk pembelian barang dan jasa (termasuk pembelian aktiva tetap)</t>
  </si>
  <si>
    <t>140010A-debet Pinjaman yg diberikan *)</t>
  </si>
  <si>
    <t>140011A-debet Tagihan lainnya *)</t>
  </si>
  <si>
    <t>240001A-kredit Kas dalam valas</t>
  </si>
  <si>
    <t>240002A-kredit Simpanan (Tabungan, deposito dan simpanan lainnya, kecuali giro) *)</t>
  </si>
  <si>
    <t>240003A-kredit Premi asuransi jiwa dibayar dimuka (untuk perusahaan non asuransi)</t>
  </si>
  <si>
    <t>240004A-kredit Premi asuransi freight dibayar dimuka (untuk perusahaan non asuransi)</t>
  </si>
  <si>
    <t>240005A-kredit Premi asuransi nonjiwa selain freight dibayar dimuka (untuk perusahaan non asuransi)</t>
  </si>
  <si>
    <t>240006A-kredit Piutang klaim asuransi jiwa (untuk perusahaan non asuransi)</t>
  </si>
  <si>
    <t>240007A-kredit Piutang klaim asuransi freight (untuk perusahaan non asuransi)</t>
  </si>
  <si>
    <t>240008A-kredit Piutang klaim asuransi nonjiwa selain freight (untuk perusahaan non asuransi)</t>
  </si>
  <si>
    <t>240009A-kredit Uang muka (advance payment) untuk pembelian barang dan jasa (termasuk pembelian aktiva tetap)</t>
  </si>
  <si>
    <t>240010A-kredit Pinjaman yg diberikan *)</t>
  </si>
  <si>
    <t>240011A-kredit Tagihan lainnya *)</t>
  </si>
  <si>
    <t>540001A-perubahan lain debet Kas dalam valas</t>
  </si>
  <si>
    <t>540002A-perubahan lain debet Simpanan (Tabungan, deposito dan simpanan lainnya, kecuali giro) *)</t>
  </si>
  <si>
    <t>540003A-perubahan lain debet Premi asuransi jiwa dibayar dimuka (untuk perusahaan non asuransi)</t>
  </si>
  <si>
    <t>540004A-perubahan lain debet Premi asuransi freight dibayar dimuka (untuk perusahaan non asuransi)</t>
  </si>
  <si>
    <t>540005A-perubahan lain debet Premi asuransi nonjiwa selain freight dibayar dimuka (untuk perusahaan non asuransi)</t>
  </si>
  <si>
    <t>540006A-perubahan lain debet Piutang klaim asuransi jiwa (untuk perusahaan non asuransi)</t>
  </si>
  <si>
    <t>540007A-perubahan lain debet Piutang klaim asuransi freight (untuk perusahaan non asuransi)</t>
  </si>
  <si>
    <t>540008A-perubahan lain debet Piutang klaim asuransi nonjiwa selain freight (untuk perusahaan non asuransi)</t>
  </si>
  <si>
    <t>540009A-perubahan lain debet Uang muka (advance payment) untuk pembelian barang dan jasa (termasuk pembelian aktiva tetap)</t>
  </si>
  <si>
    <t>540010A-perubahan lain debet Pinjaman yg diberikan *)</t>
  </si>
  <si>
    <t>540011A-perubahan lain debet Tagihan lainnya *)</t>
  </si>
  <si>
    <t>640001A-perubahan lain kredit Kas dalam valas</t>
  </si>
  <si>
    <t>640002A-perubahan lain kredit Simpanan (Tabungan, deposito dan simpanan lainnya, kecuali giro) *)</t>
  </si>
  <si>
    <t>640003A-perubahan lain kredit Premi asuransi jiwa dibayar dimuka (untuk perusahaan non asuransi)</t>
  </si>
  <si>
    <t>640004A-perubahan lain kredit Premi asuransi freight dibayar dimuka (untuk perusahaan non asuransi)</t>
  </si>
  <si>
    <t>640005A-perubahan lain kredit Premi asuransi nonjiwa selain freight dibayar dimuka (untuk perusahaan non asuransi)</t>
  </si>
  <si>
    <t>640006A-perubahan lain kredit Piutang klaim asuransi jiwa (untuk perusahaan non asuransi)</t>
  </si>
  <si>
    <t>640007A-perubahan lain kredit Piutang klaim asuransi freight (untuk perusahaan non asuransi)</t>
  </si>
  <si>
    <t>640008A-perubahan lain kredit Piutang klaim asuransi nonjiwa selain freight (untuk perusahaan non asuransi)</t>
  </si>
  <si>
    <t>640009A-perubahan lain kredit Uang muka (advance payment) untuk pembelian barang dan jasa (termasuk pembelian aktiva tetap)</t>
  </si>
  <si>
    <t>640010A-perubahan lain kredit Pinjaman yg diberikan *)</t>
  </si>
  <si>
    <t>640011A-perubahan lain kredit Tagihan lainnya *)</t>
  </si>
  <si>
    <t>120101K-Debet modal disetor</t>
  </si>
  <si>
    <t>220101K-kredit modal disetor</t>
  </si>
  <si>
    <t>520101K-perubahan lain debet modal disetor</t>
  </si>
  <si>
    <t>620101K-perubahan lain kredit modal disetor</t>
  </si>
  <si>
    <t>120201K-Debet utang deviden</t>
  </si>
  <si>
    <t>220201K-kredit utang deviden</t>
  </si>
  <si>
    <t>120301K-debet laba di tahan</t>
  </si>
  <si>
    <t>220301K-kredit laba di tahan</t>
  </si>
  <si>
    <t>520301K-perubahan lain debet laba di tahan</t>
  </si>
  <si>
    <t>620301K-perubahan lain kredit laba di tahan</t>
  </si>
  <si>
    <t>3-Dalam Negeri</t>
  </si>
  <si>
    <t>101100T-Penjualan barang ke luar wilayah Indonesia. - ekspor barang, f.o.b. (free on board)</t>
  </si>
  <si>
    <t>101300T-Pengembalian dana (refunds) dalam rangka impor</t>
  </si>
  <si>
    <t>101600T-Pendapatan manufaktur</t>
  </si>
  <si>
    <t>101700T-Pendapatan pemeliharaan dan perbaikan</t>
  </si>
  <si>
    <t xml:space="preserve">101800T-Penjualan barang di luar negeri </t>
  </si>
  <si>
    <t xml:space="preserve">101900T-Pengembalian dana (refunds) dalam rangka pembelian barang di luar negeri </t>
  </si>
  <si>
    <t>102101T-Pendapatan jasa transportasi penumpang (Passenger) - Transportasi laut</t>
  </si>
  <si>
    <t>102102T-Pendapatan jasa transportasi penumpang (Passenger) - Transportasi udara</t>
  </si>
  <si>
    <t>102103T-Pendapatan jasa transportasi penumpang (Passenger) - Transportasi lainnya</t>
  </si>
  <si>
    <t>102201T-Pendapatan jasa transportasi barang (Freight) dalam rangka ekspor dan impor - Transportasi laut</t>
  </si>
  <si>
    <t>102202T-Pendapatan jasa transportasi barang (Freight) dalam rangka ekspor dan impor - Transportasi udara</t>
  </si>
  <si>
    <t>102203T-Pendapatan jasa transportasi barang (Freight) dalam rangka ekspor dan impor - Transportasi lainnya</t>
  </si>
  <si>
    <t>102401T-Pendapatan jasa transportasi barang (Freight) di luar ekspor dan impor - Transportasi laut</t>
  </si>
  <si>
    <t>102402T-Pendapatan jasa transportasi barang (Freight) di luar ekspor dan impor - Transportasi udara</t>
  </si>
  <si>
    <t>102403T-Pendapatan jasa transportasi barang (Freight) di luar ekspor dan impor - Transportasi lainnya</t>
  </si>
  <si>
    <t>102501T-Pendapatan jasa penunjang transportasi - Transportasi laut</t>
  </si>
  <si>
    <t>102502T-Pendapatan jasa penunjang transportasi - Transportasi udara</t>
  </si>
  <si>
    <t>102503T-Pendapatan jasa penunjang transportasi - Transportasi lainnya</t>
  </si>
  <si>
    <t>103001T-Pendapatan Travel - Perjalanan bisnis</t>
  </si>
  <si>
    <t>105001T-Pendapatan jasa pos dan kurir</t>
  </si>
  <si>
    <t>107101T-Pendapatan asuransi jiwa - Beban premi (premium expense)</t>
  </si>
  <si>
    <t>107102T-Pendapatan asuransi jiwa - Suplemen premi (premium supplements )</t>
  </si>
  <si>
    <t>107103T-Pendapatan asuransi jiwa - Beban klaim (claims expense)</t>
  </si>
  <si>
    <t>107104T-Pendapatan asuransi jiwa - dikurangi: klaim reasuransi</t>
  </si>
  <si>
    <t>107105T-Pendapatan asuransi jiwa - Beban komisi (commission expense)</t>
  </si>
  <si>
    <t>107106T-Pendapatan asuransi jiwa - dikurangi: pendapatan komisi</t>
  </si>
  <si>
    <t>107201T-Pendapatan asuransi non-jiwa - Beban premi (premium expense)</t>
  </si>
  <si>
    <t>107202T-Pendapatan asuransi non-jiwa - Suplemen premi (premium supplements )</t>
  </si>
  <si>
    <t>107203T-Pendapatan asuransi non-jiwa - Beban klaim (claims expense)</t>
  </si>
  <si>
    <t>107204T-Pendapatan asuransi non-jiwa - dikurangi: klaim reasuransi</t>
  </si>
  <si>
    <t>107205T-Pendapatan asuransi non-jiwa - Beban komisi (commission expense)</t>
  </si>
  <si>
    <t>107206T-Pendapatan asuransi non-jiwa - dikurangi: pendapatan komisi</t>
  </si>
  <si>
    <t>107301T-Pendapatan reasuransi - Beban premi reasuransi (reinsurance premium expense)</t>
  </si>
  <si>
    <t>107302T-Pendapatan reasuransi - Suplemen premi (premium supplements )</t>
  </si>
  <si>
    <t>107303T-Pendapatan reasuransi - Beban klaim (claims expense)</t>
  </si>
  <si>
    <t>107304T-Pendapatan reasuransi - dikurangi: klaim reasuransi</t>
  </si>
  <si>
    <t>107305T-Pendapatan reasuransi - Beban komisi (commission expense)</t>
  </si>
  <si>
    <t>107306T-Pendapatan reasuransi - dikurangi: pendapatan komisi</t>
  </si>
  <si>
    <t>107400T-Pendapatan jasa penunjang asuransi (auxiliary insurance services)</t>
  </si>
  <si>
    <t>108000T-Pendapatan jasa keuangan</t>
  </si>
  <si>
    <t>109000T-Pendapatan komputer</t>
  </si>
  <si>
    <t>109900T-Penjualan barang di dalam wilayah Indonesia</t>
  </si>
  <si>
    <t>111201T-Pendapatan sewa tanah</t>
  </si>
  <si>
    <t>111202T-Pendapatan sewa ruang perkantoran, apartemen, rumah dan sejenisnya</t>
  </si>
  <si>
    <t>111203T-Pendapatan sewa tanah dan ruang perkantoran, apartemen, rumah dan sejenisnya</t>
  </si>
  <si>
    <t>112100T-Pendapatan di bidang hukum, akuntansi termasuk konsultasi pajak, konsultasi manajemen, dan kehumasan.</t>
  </si>
  <si>
    <t>112500T-Pendapatan terkait perdagangan</t>
  </si>
  <si>
    <t>113900T-Pengembalian dana (refunds) dalam rangka pembelian barang di dalam wilayah Indonesia</t>
  </si>
  <si>
    <t>116201T-Hibah atau sejenisnya (dalam bentuk cash) yang tidak dikaitkan dengan kewajiban membeli fixed asset</t>
  </si>
  <si>
    <t>116202T-Hibah atau sejenisnya (dalam bentuk cash) yang dikaitkan dengan kewajiban membeli fixed asset</t>
  </si>
  <si>
    <t>116203T-Hibah atau sejenisnya dalam bentuk barang (nonfinancial assets), seperti mesin</t>
  </si>
  <si>
    <t>117000T-Bunga, dividen dan sejenisnya - Dividen dan keuntungan/laba yang dibagikan, termasuk keuntungan yang berasal dari reksadana</t>
  </si>
  <si>
    <t>118101T-Bunga, dividen dan sejenisnya - Surat-surat berharga yang diterbitkan oleh bukan penduduk - Sampai dengan satu tahun</t>
  </si>
  <si>
    <t>118102T-Bunga, dividen dan sejenisnya - Surat-surat berharga yang diterbitkan oleh bukan penduduk - Lebih dari satu tahun</t>
  </si>
  <si>
    <t>118401T-Bunga, dividen dan sejenisnya - Surat-surat berharga yang diterbitkan oleh penduduk - Sampai dengan satu tahun</t>
  </si>
  <si>
    <t>201200T-Pembelian barang dari luar wilayah Indonesia. - impor barang, f.o.b. (free on board)</t>
  </si>
  <si>
    <t>201300T-Pengembalian dana (refunds) dalam rangka ekspor</t>
  </si>
  <si>
    <t>201700T-Beban atas jasa pemeliharaan dan perbaikan</t>
  </si>
  <si>
    <t xml:space="preserve">201800T-Pembelian barang di luar negeri </t>
  </si>
  <si>
    <t>201900T-Pengembalian dana (refunds) dalam rangka penjualan barang di luar negeri</t>
  </si>
  <si>
    <t>202101T-Beban jasa transportasi penumpang (Passenger) - Transportasi laut</t>
  </si>
  <si>
    <t>202102T-Beban jasa transportasi penumpang (Passenger) - Transportasi udara</t>
  </si>
  <si>
    <t>202103T-Beban jasa transportasi penumpang (Passenger) - Transportasi lainnya</t>
  </si>
  <si>
    <t>202201T-Beban jasa transportasi barang (Freight) dalam rangka ekspor dan impor - Transportasi laut</t>
  </si>
  <si>
    <t>202202T-Beban jasa transportasi barang (Freight) dalam rangka ekspor dan impor - Transportasi udara</t>
  </si>
  <si>
    <t>202203T-Beban jasa transportasi barang (Freight) dalam rangka ekspor dan impor - Transportasi lainnya</t>
  </si>
  <si>
    <t>202401T-Beban jasa transportasi barang (Freight) di luar ekspor dan impor - Transportasi laut</t>
  </si>
  <si>
    <t>202402T-Beban jasa transportasi barang (Freight) di luar ekspor dan impor - Transportasi udara</t>
  </si>
  <si>
    <t>202403T-Beban jasa transportasi barang (Freight) di luar ekspor dan impor - Transportasi lainnya</t>
  </si>
  <si>
    <t>202501T-Beban jasa penunjang transportasi - Transportasi laut</t>
  </si>
  <si>
    <t>202502T-Beban jasa penunjang transportasi - Transportasi udara</t>
  </si>
  <si>
    <t>202503T-Beban jasa penunjang transportasi - Transportasi lainnya</t>
  </si>
  <si>
    <t>203001T-Beban Travel - Perjalanan bisnis</t>
  </si>
  <si>
    <t>205000T-Beban jasa pos dan kurir</t>
  </si>
  <si>
    <t>207101T-Beban asuransi jiwa - Beban premi (premium earned)</t>
  </si>
  <si>
    <t>207102T-Beban asuransi jiwa - Suplemen premi (premium supplements )</t>
  </si>
  <si>
    <t>207103T-Beban asuransi jiwa - Beban klaim (claims received)</t>
  </si>
  <si>
    <t>207104T-Beban asuransi jiwa - dikurangi: Premi reasuransi/retrosesi</t>
  </si>
  <si>
    <t>207105T-Beban asuransi jiwa - Komisi diterima (commission received)</t>
  </si>
  <si>
    <t>207201T-Beban asuransi non jiwa - Beban premi (premium earned)</t>
  </si>
  <si>
    <t>207202T-Beban asuransi non jiwa - Suplemen premi (premium supplements )</t>
  </si>
  <si>
    <t>207203T-Beban asuransi non jiwa - Beban klaim (claims received)</t>
  </si>
  <si>
    <t>207204T-Beban asuransi non jiwa - dikurangi: Premi reasuransi/retrosesi</t>
  </si>
  <si>
    <t>207205T-Beban asuransi non jiwa - Komisi diterima (commission received)</t>
  </si>
  <si>
    <t>207301T-Beban reasuransi - Beban premi (premium earned)</t>
  </si>
  <si>
    <t>207302T-Beban reasuransi - Suplemen premi (premium supplements )</t>
  </si>
  <si>
    <t>207303T-Beban reasuransi - Beban klaim (claims received)</t>
  </si>
  <si>
    <t>207304T-Beban reasuransi - dikurangi: Premi reasuransi/retrosesi</t>
  </si>
  <si>
    <t>207305T-Beban reasuransi - Komisi diterima (commission received)</t>
  </si>
  <si>
    <t>207400T-Beban reasuransi - Beban atas jasa penunjang asuransi (auxiliary insurance services)</t>
  </si>
  <si>
    <t>208000T-Beban jasa keuangan</t>
  </si>
  <si>
    <t>209000T-Beban komputer</t>
  </si>
  <si>
    <t>209100T-Beban informasi</t>
  </si>
  <si>
    <t>209900T-Pembelian barang di dalam wilayah Indonesia</t>
  </si>
  <si>
    <t>211201T-Beban sewa tanah dan gedung - tanah</t>
  </si>
  <si>
    <t>211202T-Beban sewa tanah dan gedung - ruang perkantoran, apartemen, rumah dan sejenisnya</t>
  </si>
  <si>
    <t>211203T-Beban sewa tanah dan gedung - tanah dan ruang perkantoran, apartemen, rumah dan sejenisnya</t>
  </si>
  <si>
    <t>212000T-Beban penelitian dan pengembangan</t>
  </si>
  <si>
    <t>212100T-Beban di bidang hukum, akuntansi termasuk konsultasi pajak, konsultasi manajemen, dan kehumasan.</t>
  </si>
  <si>
    <t>212500T-Beban terkait perdagangan</t>
  </si>
  <si>
    <t>213000T-Beban di bidang seni, budaya, dan rekreasi</t>
  </si>
  <si>
    <t>213900T-Pengembalian dana (refunds) dalam rangka penjualan barang di dalam wilayah Indonesia</t>
  </si>
  <si>
    <t>216201T-Hibah atau sejenisnya (dalam bentuk cash) yang tidak dikaitkan dengan kewajiban membeli fixed asset</t>
  </si>
  <si>
    <t>216202T-Hibah atau sejenisnya (dalam bentuk cash) yang dikaitkan dengan kewajiban membeli fixed asset</t>
  </si>
  <si>
    <t>216203T-Hibah atau sejenisnya dalam bentuk barang (nonfinancial assets), seperti mesin</t>
  </si>
  <si>
    <t>217000T-Bunga, dividen dan sejenisnya - Dividen dan keuntungan/laba yang dibagikan, termasuk keuntungan yang berasal dari reksadana</t>
  </si>
  <si>
    <t>218101T-Bunga, dividen dan sejenisnya - Surat-surat berharga yang diterbitkan oleh bukan penduduk - Sampai dengan satu tahun</t>
  </si>
  <si>
    <t>218401T-Bunga, dividen dan sejenisnya - Surat-surat berharga yang diterbitkan oleh penduduk - Sampai dengan satu tahun</t>
  </si>
  <si>
    <t>218402T-Bunga, dividen dan sejenisnya - Surat-surat berharga yang diterbitkan oleh penduduk - Lebih dari satu tahun</t>
  </si>
  <si>
    <t>219900T-Beban bisnis lainnya</t>
  </si>
  <si>
    <t xml:space="preserve">101100T-Penjualan barang ke luar wilayah Indonesia. - Ekspor barang, f.o.b. (free on board) </t>
  </si>
  <si>
    <t xml:space="preserve">101300T-Pengembalian dana (refunds) dalam rangka impor </t>
  </si>
  <si>
    <t xml:space="preserve">101400T-Advance payment - barang ekspor dan impor </t>
  </si>
  <si>
    <t xml:space="preserve">101600T-Penerimaan Manufaktur </t>
  </si>
  <si>
    <t xml:space="preserve">101700T-Penerimaan atas jasa pemeliharaan dan perbaikan </t>
  </si>
  <si>
    <t xml:space="preserve">102101T-Penerimaan jasa transportasi penumpang (Passenger) - Transportasi laut </t>
  </si>
  <si>
    <t xml:space="preserve">102102T-Penerimaan jasa transportasi penumpang (Passenger) - Transportasi udara </t>
  </si>
  <si>
    <t xml:space="preserve">102103T-Penerimaan jasa transportasi penumpang (Passenger) - Transportasi lainnya </t>
  </si>
  <si>
    <t xml:space="preserve">102201T-Penerimaan jasa transportasi barang (Freight) dalam rangka ekspor dan impor - Transportasi laut </t>
  </si>
  <si>
    <t xml:space="preserve">102202T-Penerimaan jasa transportasi barang (Freight) dalam rangka ekspor dan impor - Transportasi udara </t>
  </si>
  <si>
    <t xml:space="preserve">102203T-Penerimaan jasa transportasi barang (Freight) dalam rangka ekspor dan impor - Transportasi lainnya </t>
  </si>
  <si>
    <t xml:space="preserve">102401T-Penerimaan jasa transportasi barang (Freight) di luar ekspor dan impor - Transportasi laut </t>
  </si>
  <si>
    <t xml:space="preserve">102402T-Penerimaan jasa transportasi barang (Freight) di luar ekspor dan impor - Transportasi udara </t>
  </si>
  <si>
    <t xml:space="preserve">102403T-Penerimaan jasa transportasi barang (Freight) di luar ekspor dan impor - Transportasi lainnya </t>
  </si>
  <si>
    <t xml:space="preserve">102501T-Penerimaan jasa penunjang transportasi - Transportasi laut </t>
  </si>
  <si>
    <t xml:space="preserve">102502T-Penerimaan jasa penunjang transportasi - Transportasi udara </t>
  </si>
  <si>
    <t xml:space="preserve">102503T-Penerimaan jasa penunjang transportasi - Transportasi lainnya </t>
  </si>
  <si>
    <t xml:space="preserve">103001T-Penerimaan Travel - Perjalanan bisnis </t>
  </si>
  <si>
    <t xml:space="preserve">103002T-Penerimaan Travel - Perjalanan non bisnis </t>
  </si>
  <si>
    <t xml:space="preserve">104000T-Penerimaan pendidikan/pelatihan </t>
  </si>
  <si>
    <t xml:space="preserve">105001T-Penerimaan pos dan kurir </t>
  </si>
  <si>
    <t xml:space="preserve">105102T-Penerimaan telekomunikasi </t>
  </si>
  <si>
    <t xml:space="preserve">106101T-Penerimaan konstruksi di luar negeri - sampai dengan 1 tahun </t>
  </si>
  <si>
    <t xml:space="preserve">106102T-Penerimaan konstruksi di luar negeri - lebih dari satu tahun </t>
  </si>
  <si>
    <t xml:space="preserve">106201T-Penerimaan konstruksi di Indonesia - sampai dengan 1 tahun </t>
  </si>
  <si>
    <t xml:space="preserve">106202T-Penerimaan konstruksi di Indonesia - lebih dari satu tahun </t>
  </si>
  <si>
    <t xml:space="preserve">107101T-Penerimaan asuransi jiwa - Penerimaan premi (premium earned) </t>
  </si>
  <si>
    <t xml:space="preserve">107102T-Penerimaan asuransi jiwa - Suplemen premi (premium supplements ) </t>
  </si>
  <si>
    <t xml:space="preserve">107103T-Penerimaan asuransi jiwa - Penerimaan klaim (claims received) </t>
  </si>
  <si>
    <t xml:space="preserve">107104T-Penerimaan asuransi jiwa - dikurangi: Premi reasuransi/retrosesi </t>
  </si>
  <si>
    <t xml:space="preserve">107105T-Penerimaan asuransi jiwa - Komisi diterima (commission received) </t>
  </si>
  <si>
    <t xml:space="preserve">107201T-Penerimaan asuransi non jiwa - Penerimaan premi (premium earned) </t>
  </si>
  <si>
    <t xml:space="preserve">107202T-Penerimaan asuransi non jiwa - Suplemen premi (premium supplements ) </t>
  </si>
  <si>
    <t xml:space="preserve">107203T-Penerimaan asuransi non jiwa - Penerimaan klaim (claims received) </t>
  </si>
  <si>
    <t xml:space="preserve">107204T-Penerimaan asuransi non jiwa - dikurangi: Premi reasuransi/retrosesi </t>
  </si>
  <si>
    <t xml:space="preserve">107205T-Penerimaan asuransi non jiwa - Komisi diterima (commission received) </t>
  </si>
  <si>
    <t xml:space="preserve">107301T-Penerimaan reasuransi - Penerimaan premi (premium earned) </t>
  </si>
  <si>
    <t xml:space="preserve">107302T-Penerimaan reasuransi - Suplemen premi (premium supplements ) </t>
  </si>
  <si>
    <t xml:space="preserve">107303T-Penerimaan reasuransi - Penerimaan klaim (claims received) </t>
  </si>
  <si>
    <t xml:space="preserve">107304T-Penerimaan reasuransi - dikurangi: Premi reasuransi/retrosesi </t>
  </si>
  <si>
    <t xml:space="preserve">107305T-Penerimaan reasuransi - Komisi diterima (commission received) </t>
  </si>
  <si>
    <t xml:space="preserve">107400T-Penerimaan atas jasa penunjang asuransi (auxiliary insurance services) </t>
  </si>
  <si>
    <t xml:space="preserve">107500T-Advance payment - asuransi </t>
  </si>
  <si>
    <t xml:space="preserve">107600T-Advance payment - lainnya (sebutkan) </t>
  </si>
  <si>
    <t xml:space="preserve">107700T-Penerimaan/pengembalian uang pemesanan (berdasarkan IPO dan private placement) </t>
  </si>
  <si>
    <t xml:space="preserve">107800T-Reimbursement atas dana talangan </t>
  </si>
  <si>
    <t xml:space="preserve">108000T-Penerimaan jasa keuangan </t>
  </si>
  <si>
    <t xml:space="preserve">109000T-Penerimaan komputer </t>
  </si>
  <si>
    <t xml:space="preserve">109100T-Penerimaan informasi </t>
  </si>
  <si>
    <t xml:space="preserve">109900T-Penjualan barang di dalam wilayah Indonesia </t>
  </si>
  <si>
    <t xml:space="preserve">110000T-Penerimaan atas penggunaan hak kekayaan intelektual </t>
  </si>
  <si>
    <t xml:space="preserve">111100T-Penerimaan Operational leasing </t>
  </si>
  <si>
    <t xml:space="preserve">111201T-Pendapatan sewa tanah dan gedung - tanah </t>
  </si>
  <si>
    <t xml:space="preserve">111202T-Pendapatan sewa tanah dan gedung - ruang perkantoran, apartemen, rumah dan sejenisnya </t>
  </si>
  <si>
    <t xml:space="preserve">111203T-Pendapatan sewa tanah dan gedung - tanah dan ruang perkantoran, apartemen, rumah dan sejenisnya </t>
  </si>
  <si>
    <t xml:space="preserve">112000T-Penerimaan penelitian dan pengembangan </t>
  </si>
  <si>
    <t xml:space="preserve">112100T-Penerimaan di bidang hukum, akuntansi termasuk konsultasi pajak, konsultasi manajemen, dan kehumasan. </t>
  </si>
  <si>
    <t xml:space="preserve">112200T-Penerimaan periklanan, penelitian pasar, dan jajak pendapat publik </t>
  </si>
  <si>
    <t xml:space="preserve">112300T-Penerimaan arsitektur, rekayasa, dan teknik lainnya. </t>
  </si>
  <si>
    <t xml:space="preserve">112400T-Penerimaan di bidang pengolahan sampah dan polusi, pertanian, dan pertambangan </t>
  </si>
  <si>
    <t xml:space="preserve">112500T-Penerimaan terkait perdagangan </t>
  </si>
  <si>
    <t xml:space="preserve">112900T-Penyelesaian saldo rekening (netting) </t>
  </si>
  <si>
    <t xml:space="preserve">113000T-Penerimaan di bidang seni, budaya, dan rekreasi </t>
  </si>
  <si>
    <t xml:space="preserve">114000T-Penerimaan atas barang/jasa yang diberikan ke pemerintah asing </t>
  </si>
  <si>
    <t xml:space="preserve">116100T-Pendapatan pajak dan sejenisnya </t>
  </si>
  <si>
    <t xml:space="preserve">116201T-Hibah atau sejenisnya (dalam bentuk cash) yang tidak dikaitkan dengan kewajiban membeli fixed asset </t>
  </si>
  <si>
    <t xml:space="preserve">116202T-Hibah atau sejenisnya (dalam bentuk cash) yang dikaitkan dengan kewajiban membeli fixed asset </t>
  </si>
  <si>
    <t xml:space="preserve">116203T-Hibah atau sejenisnya dalam bentuk barang (nonfinancial assets), seperti mesin </t>
  </si>
  <si>
    <t xml:space="preserve">116300T-Pendapatan tenaga kerja </t>
  </si>
  <si>
    <t xml:space="preserve">116400T-Pendapatan sanksi/denda, dan sejenisnya </t>
  </si>
  <si>
    <t xml:space="preserve">117000T-Bunga, dividen dan sejenisnya - Dividen dan keuntungan/laba yang dibagikan, termasuk keuntungan yang berasal dari reksadana </t>
  </si>
  <si>
    <t xml:space="preserve">118101T-Bunga, dividen dan sejenisnya - Surat-surat berharga yang diterbitkan oleh bukan penduduk - Lebih dari satu tahun </t>
  </si>
  <si>
    <t xml:space="preserve">118102T-Bunga, dividen dan sejenisnya - Surat-surat berharga yang diterbitkan oleh bukan penduduk - Lebih dari satu tahun </t>
  </si>
  <si>
    <t xml:space="preserve">118200T-Bunga, dividen dan sejenisnya - Rekening giro dan simpanan, termasuk tabungan dan deposito mudharabah. </t>
  </si>
  <si>
    <t xml:space="preserve">118300T-Bunga, dividen dan sejenisnya - Pinjaman </t>
  </si>
  <si>
    <t xml:space="preserve">118402T-Bunga, dividen dan sejenisnya - Surat-surat berharga yang diterbitkan oleh penduduk - Lebih dari satu tahun </t>
  </si>
  <si>
    <t xml:space="preserve">118500T-Bunga, dividen dan sejenisnya - Gold swap </t>
  </si>
  <si>
    <t xml:space="preserve">118600T-Pendapatan atas transaksi securities lending dan gold loan/deposit </t>
  </si>
  <si>
    <t xml:space="preserve">119101T-Jual beli hak paten, hak cipta, lisensi, dan sejenisnya - Franchise dan trademarks </t>
  </si>
  <si>
    <t xml:space="preserve">119102T-Jual beli hak paten, hak cipta, lisensi, dan sejenisnya - Hasil penelitian dan pengembangan </t>
  </si>
  <si>
    <t xml:space="preserve">119201T-Jual beli tanah </t>
  </si>
  <si>
    <t xml:space="preserve">119202T-Jual beli gedung </t>
  </si>
  <si>
    <t xml:space="preserve">119900T-Penerimaan bisnis lainnya </t>
  </si>
  <si>
    <t xml:space="preserve">120101T-Penerimaan modal - di Indonesia </t>
  </si>
  <si>
    <t xml:space="preserve">120102T-Penerimaan modal - di luar Indonesia </t>
  </si>
  <si>
    <t xml:space="preserve">120201T-Divestasi penyertaan modal - di Indonesia </t>
  </si>
  <si>
    <t xml:space="preserve">120202T-Divestasi penyertaan modal - di luar Indonesia </t>
  </si>
  <si>
    <t xml:space="preserve">122100T-Penarikan pinjaman dengan jangka waktu sampai dengan satu tahun </t>
  </si>
  <si>
    <t xml:space="preserve">122200T-Penarikan pinjaman dengan jangka waktu lebih dari satu tahun </t>
  </si>
  <si>
    <t xml:space="preserve">123100T-Penerimaan pengembalian pinjaman dengan jangka waktu sampai dengan satu tahun </t>
  </si>
  <si>
    <t xml:space="preserve">123200T-Penerimaan pengembalian pinjaman dengan jangka waktu lebih dari satu tahun </t>
  </si>
  <si>
    <t xml:space="preserve">123300T-Financial leasing </t>
  </si>
  <si>
    <t xml:space="preserve">124001T-Factoring - Bank di Indonesia, dengan jangka waktu: Sampai dengan satu tahun </t>
  </si>
  <si>
    <t xml:space="preserve">124002T-Factoring - Bank di Indonesia, dengan jangka waktu: Lebih dari satu tahun </t>
  </si>
  <si>
    <t xml:space="preserve">124101T-Factoring - Perusahaan di Indonesia, dengan jangka waktu: Sampai dengan satu tahun </t>
  </si>
  <si>
    <t xml:space="preserve">124102T-Factoring - Perusahaan di Indonesia, dengan jangka waktu: Lebih dari satu tahun </t>
  </si>
  <si>
    <t xml:space="preserve">124201T-Factoring - Bank di luar negeri, dengan jangka waktu: Sampai dengan satu tahun </t>
  </si>
  <si>
    <t xml:space="preserve">124202T-Factoring - Bank di luar negeri, dengan jangka waktu: Lebih dari satu tahun </t>
  </si>
  <si>
    <t xml:space="preserve">124301T-Factoring - Perusahaan di luar negeri, dengan jangka waktu: Sampai dengan satu tahun </t>
  </si>
  <si>
    <t xml:space="preserve">124302T-Factoring - Perusahaan di luar negeri, dengan jangka waktu: Lebih dari satu tahun </t>
  </si>
  <si>
    <t xml:space="preserve">124400T-Working capital/cashcall </t>
  </si>
  <si>
    <t xml:space="preserve">124701T-Gold swap - Penerimaan dana oleh cash provider dalam transaksi gold swap dengan jangka waktu perjanjian: - sampai dengan satu tahun </t>
  </si>
  <si>
    <t xml:space="preserve">124702T-Gold swap - Penerimaan dana oleh cash provider dalam transaksi gold swap dengan jangka waktu perjanjian: - lebih dari satu tahun </t>
  </si>
  <si>
    <t xml:space="preserve">124801T-Gold swap - Penerimaan dana oleh gold owner dalam transaksi gold swap dengan jangka waktu perjanjian: - sampai dengan satu tahun </t>
  </si>
  <si>
    <t xml:space="preserve">124802T-Gold swap - Penerimaan dana oleh gold owner dalam transaksi gold swap dengan jangka waktu perjanjian: - lebih dari satu tahun </t>
  </si>
  <si>
    <t xml:space="preserve">125500T-Bertambahnya OCA atas beban OCA lainnya milik Perusahaan pelapor. </t>
  </si>
  <si>
    <t xml:space="preserve">125600T-Bertambahnya OCA atas beban giro/simpanan lainnya pada lembaga di luar negeri </t>
  </si>
  <si>
    <t xml:space="preserve">125700T-Bertambahnya OCA atas beban giro/simpanan di bank domestik </t>
  </si>
  <si>
    <t xml:space="preserve">126100T-Perdagangan valuta asing - Transaksi spot - valuta asing terhadap rupiah </t>
  </si>
  <si>
    <t xml:space="preserve">126200T-Perdagangan valuta asing - antar valuta asing </t>
  </si>
  <si>
    <t xml:space="preserve">126300T-Perdagangan valuta asing - Transaksi forward: - valuta asing terhadap rupiah </t>
  </si>
  <si>
    <t xml:space="preserve">126500T-Transaksi derivatif dan transaksi terkait lainnya - Keuntungan atas transaksi forward atau sejenisnya (seperti swaps dan futures) </t>
  </si>
  <si>
    <t xml:space="preserve">126600T-Transaksi derivatif dan transaksi terkait lainnya - Penerimaan premium dalam transaksi option </t>
  </si>
  <si>
    <t xml:space="preserve">126700T-Transaksi derivatif dan transaksi terkait lainnya - Penerimaan untuk forward rate agreement (FRA) </t>
  </si>
  <si>
    <t xml:space="preserve">126801T-Transaksi derivatif dan transaksi terkait lainnya - Penerimaan dalam transaksi interest swap atau currency swap </t>
  </si>
  <si>
    <t xml:space="preserve">126900T-Transaksi derivatif dan transaksi terkait lainnya - Penerimaaaan untuk initial/repayable margin </t>
  </si>
  <si>
    <t xml:space="preserve">127000T-Transaksi derivatif dan transaksi terkait lainnya - Penerimaaaan untuk variation /nonrepayable margin </t>
  </si>
  <si>
    <t xml:space="preserve">127100T-Transaksi derivatif dan transaksi terkait lainnya - Penerimaan pokok (principal) dalam transaksi currency swap di awal transaksi (first leg) </t>
  </si>
  <si>
    <t xml:space="preserve">127200T-Transaksi derivatif dan transaksi terkait lainnya - Penerimaan pokok (principal) dalam transaksi currency swap pada saat transaksi berakhir (final leg) </t>
  </si>
  <si>
    <t xml:space="preserve">127300T-Transaksi derivatif dan transaksi terkait lainnya - Penerimaaan premi dalam transaksi credit default swap </t>
  </si>
  <si>
    <t xml:space="preserve">127400T-Employee stock options </t>
  </si>
  <si>
    <t xml:space="preserve">128000T-Setoran Jaminan </t>
  </si>
  <si>
    <t xml:space="preserve">131100T-Surat berharga yang diterbitkan oleh bukan penduduk: - Saham </t>
  </si>
  <si>
    <t xml:space="preserve">132100T-Surat berharga yang diterbitkan oleh bukan penduduk berjangka waktu lebih dari satu tahun - Obligasi </t>
  </si>
  <si>
    <t xml:space="preserve">132200T-Surat berharga yang diterbitkan oleh bukan penduduk berjangka waktu lebih dari satu tahun - Medium Term Notes (MTNs) </t>
  </si>
  <si>
    <t xml:space="preserve">132300T-Surat berharga yang diterbitkan oleh bukan penduduk berjangka waktu lebih dari satu tahun - Surat berharga jangka panjang lainnya </t>
  </si>
  <si>
    <t xml:space="preserve">133100T-Surat berharga yang diterbitkan oleh bukan penduduk berjangka waktu sampai dengan satu tahun - Treasury Bills </t>
  </si>
  <si>
    <t xml:space="preserve">133200T-Surat berharga yang diterbitkan oleh bukan penduduk berjangka waktu sampai dengan satu tahun - Promissory Notes (PNs/Promes) </t>
  </si>
  <si>
    <t xml:space="preserve">133300T-Surat berharga yang diterbitkan oleh bukan penduduk berjangka waktu sampai dengan satu tahun - Surat berharga jangka pendek lainnya </t>
  </si>
  <si>
    <t xml:space="preserve">134100T-Surat berharga yang diterbitkan oleh penduduk: Saham </t>
  </si>
  <si>
    <t xml:space="preserve">134200T-Surat berharga yang diterbitkan oleh penduduk: Efek ekuitas lainnya, seperti warrant dan right </t>
  </si>
  <si>
    <t xml:space="preserve">135100T-Surat berharga yang diterbitkan oleh penduduk lebih dari satu tahun: Obligasi pemerintah Republik Indonesia seperti obligasi dalam rangka rekapitalisasi perbankan nasional dan Obligasi Ritel Indonesia (ORI) </t>
  </si>
  <si>
    <t xml:space="preserve">135200T-Surat berharga yang diterbitkan oleh penduduk lebih dari satu tahun: Obligasi Perusahaan </t>
  </si>
  <si>
    <t xml:space="preserve">135300T-Surat berharga yang diterbitkan oleh penduduk lebih dari satu tahun: Medium Term Notes (MTNs) </t>
  </si>
  <si>
    <t xml:space="preserve">135400T-Surat berharga yang diterbitkan oleh penduduk lebih dari satu tahun: Surat berharga jangka panjang lainnya. </t>
  </si>
  <si>
    <t xml:space="preserve">136100T-Surat berharga yang diterbitkan oleh penduduk sampai dengan satu tahun: Sertifikat Bank Indonesia (SBI) dan Sertifikat Wadiah Bank Indonesia (SWBI) </t>
  </si>
  <si>
    <t xml:space="preserve">136300T-Surat berharga yang diterbitkan oleh penduduk sampai dengan satu tahun: Promissory Notes (PNs/Promes) </t>
  </si>
  <si>
    <t xml:space="preserve">136400T-Surat berharga yang diterbitkan oleh penduduk sampai dengan satu tahun: Negotiable Certificate of Deposit (NCD) </t>
  </si>
  <si>
    <t xml:space="preserve">136500T-Surat berharga yang diterbitkan oleh penduduk sampai dengan satu tahun: Surat berharga jangka pendek lainnya. </t>
  </si>
  <si>
    <t xml:space="preserve">137200T-Reksadana yang diperdagangkan (Exchange Traded Fund) </t>
  </si>
  <si>
    <t xml:space="preserve">137300T-Penyertaan dalam Reksadana </t>
  </si>
  <si>
    <t xml:space="preserve">138101T-Repurchase Agreement (Repo) - Penjualan surat berharga secara repo oleh pemilik surat berharga dengan jangka waktu: - sampai dengan satu tahun </t>
  </si>
  <si>
    <t xml:space="preserve">138102T-Repurchase Agreement (Repo) - Penjualan surat berharga secara repo oleh pemilik surat berharga dengan jangka waktu: - lebih dari satu tahun </t>
  </si>
  <si>
    <t xml:space="preserve">138201T-Repurchase Agreement (Repo) - Penjualan kembali surat berharga repo oleh pembeli surat berharga dengan jangka waktu: - sampai dengan satu tahun </t>
  </si>
  <si>
    <t xml:space="preserve">138202T-Repurchase Agreement (Repo) - Penjualan kembali surat berharga repo oleh pembeli surat berharga dengan jangka waktu: - lebih dari satu tahun </t>
  </si>
  <si>
    <t xml:space="preserve">170100T-Penerimaan dari Bank Dalam Negeri </t>
  </si>
  <si>
    <t xml:space="preserve">190200T-Lainnya (jelaskan rinciannya) </t>
  </si>
  <si>
    <t xml:space="preserve">201200T-Pembelian barang dari luar wilayah Indonesia. - Impor barang, f.o.b. (free on board) </t>
  </si>
  <si>
    <t xml:space="preserve">201300T-Pengembalian dana (refunds) dalam rangka ekspor </t>
  </si>
  <si>
    <t xml:space="preserve">201400T-Advance payment - barang ekspor dan impor </t>
  </si>
  <si>
    <t xml:space="preserve">201600T-Pembayaran Manufaktur </t>
  </si>
  <si>
    <t xml:space="preserve">201700T-Pembayaran atas jasa pemeliharaan dan perbaikan </t>
  </si>
  <si>
    <t xml:space="preserve">201900T-Pengembalian dana (refunds) dalam rangka penjualan barang di luar negeri </t>
  </si>
  <si>
    <t xml:space="preserve">202101T-Pembayaran jasa transportasi penumpang (Passenger) - Transportasi laut </t>
  </si>
  <si>
    <t xml:space="preserve">202102T-Pembayaran jasa transportasi penumpang (Passenger) - Transportasi udara </t>
  </si>
  <si>
    <t xml:space="preserve">202103T-Pembayaran jasa transportasi penumpang (Passenger) - Transportasi lainnya </t>
  </si>
  <si>
    <t xml:space="preserve">202201T-Pembayaran jasa transportasi barang (Freight) dalam rangka ekspor dan impor - Transportasi laut </t>
  </si>
  <si>
    <t xml:space="preserve">202202T-Pembayaran jasa transportasi barang (Freight) dalam rangka ekspor dan impor - Transportasi udara </t>
  </si>
  <si>
    <t xml:space="preserve">202203T-Pembayaran jasa transportasi barang (Freight) dalam rangka ekspor dan impor - Transportasi lainnya </t>
  </si>
  <si>
    <t xml:space="preserve">202401T-Pembayaran jasa transportasi barang (Freight) di luar ekspor dan impor - Transportasi laut </t>
  </si>
  <si>
    <t xml:space="preserve">202402T-Pembayaran jasa transportasi barang (Freight) di luar ekspor dan impor - Transportasi udara </t>
  </si>
  <si>
    <t xml:space="preserve">202403T-Pembayaran jasa transportasi barang (Freight) di luar ekspor dan impor - Transportasi lainnya </t>
  </si>
  <si>
    <t xml:space="preserve">202501T-Pembayaran jasa penunjang transportasi - Transportasi laut </t>
  </si>
  <si>
    <t xml:space="preserve">202502T-Pembayaran jasa penunjang transportasi - Transportasi udara </t>
  </si>
  <si>
    <t xml:space="preserve">202503T-Pembayaran jasa penunjang transportasi - Transportasi lainnya </t>
  </si>
  <si>
    <t xml:space="preserve">203001T-Pembayaran Travel - Perjalanan bisnis </t>
  </si>
  <si>
    <t xml:space="preserve">203002T-Pembayaran Travel - Perjalanan non bisnis </t>
  </si>
  <si>
    <t xml:space="preserve">204000T-Pembayaran pendidikan/pelatihan </t>
  </si>
  <si>
    <t xml:space="preserve">205000T-Pembayaran pos dan kurir </t>
  </si>
  <si>
    <t xml:space="preserve">205100T-Pembayaran telekomunikasi </t>
  </si>
  <si>
    <t xml:space="preserve">206101T-Pembayaran konstruksi di luar negeri - sampai dengan 1 tahun </t>
  </si>
  <si>
    <t xml:space="preserve">206102T-Pembayaran konstruksi di luar negeri - lebih dari satu tahun </t>
  </si>
  <si>
    <t xml:space="preserve">206201T-Pembayaran konstruksi di Indonesia - sampai dengan 1 tahun </t>
  </si>
  <si>
    <t xml:space="preserve">206202T-Pembayaran konstruksi di Indonesia - lebih dari satu tahun </t>
  </si>
  <si>
    <t xml:space="preserve">207101T-Pembayaran asuransi jiwa - Pembayaran premi (premium earned) </t>
  </si>
  <si>
    <t xml:space="preserve">207102T-Pembayaran asuransi jiwa - Suplemen premi (premium supplements ) </t>
  </si>
  <si>
    <t xml:space="preserve">207103T-Pembayaran asuransi jiwa - Pembayaran klaim (claims received) </t>
  </si>
  <si>
    <t xml:space="preserve">207104T-Pembayaran asuransi jiwa - dikurangi: Premi reasuransi/retrosesi </t>
  </si>
  <si>
    <t xml:space="preserve">207105T-Pembayaran asuransi jiwa - Komisi diterima (commission received) </t>
  </si>
  <si>
    <t xml:space="preserve">207201T-Pembayaran asuransi non jiwa - Pembayaran premi (premium earned) </t>
  </si>
  <si>
    <t xml:space="preserve">207202T-Pembayaran asuransi non jiwa - Suplemen premi (premium supplements ) </t>
  </si>
  <si>
    <t xml:space="preserve">207203T-Pembayaran asuransi non jiwa - Pembayaran klaim (claims received) </t>
  </si>
  <si>
    <t xml:space="preserve">207204T-Pembayaran asuransi non jiwa - dikurangi: Premi reasuransi/retrosesi </t>
  </si>
  <si>
    <t xml:space="preserve">207205T-Pembayaran asuransi non jiwa - Komisi diterima (commission received) </t>
  </si>
  <si>
    <t xml:space="preserve">207301T-Pembayaran asuransi non jiwa - Pembayaran premi (premium earned) </t>
  </si>
  <si>
    <t xml:space="preserve">207302T-Pembayaran reasuransi - Suplemen premi (premium supplements ) </t>
  </si>
  <si>
    <t xml:space="preserve">207303T-Pembayaran reasuransi - Pembayaran klaim (claims received) </t>
  </si>
  <si>
    <t xml:space="preserve">207304T-Pembayaran reasuransi - dikurangi: Premi reasuransi/retrosesi </t>
  </si>
  <si>
    <t xml:space="preserve">207305T-Pembayaran reasuransi - Komisi diterima (commission received) </t>
  </si>
  <si>
    <t xml:space="preserve">207400T-Pembayaran atas jasa penunjang asuransi (auxiliary insurance services) </t>
  </si>
  <si>
    <t xml:space="preserve">207500T-Advance payment - asuransi </t>
  </si>
  <si>
    <t xml:space="preserve">207600T-Advance payment - lainnya (sebutkan) </t>
  </si>
  <si>
    <t xml:space="preserve">207700T-Penerimaan/pengembalian uang pemesanan (berdasarkan IPO dan private placement) </t>
  </si>
  <si>
    <t xml:space="preserve">207800T-Reimbursement atas dana talangan </t>
  </si>
  <si>
    <t xml:space="preserve">208000T-Pembayaran jasa keuangan </t>
  </si>
  <si>
    <t xml:space="preserve">209000T-Pembayaran komputer </t>
  </si>
  <si>
    <t xml:space="preserve">209100T-Pembayaran informasi </t>
  </si>
  <si>
    <t xml:space="preserve">209900T-Pembelian barang di dalam wilayah Indonesia </t>
  </si>
  <si>
    <t xml:space="preserve">210000T-Pembayaran atas penggunaan hak kekayaan intelektual </t>
  </si>
  <si>
    <t xml:space="preserve">211100T-Pembayaran Operational leasing </t>
  </si>
  <si>
    <t xml:space="preserve">211201T-Beban sewa tanah dan gedung - tanah </t>
  </si>
  <si>
    <t xml:space="preserve">211202T-Beban sewa tanah dan gedung - ruang perkantoran, apartemen, rumah dan sejenisnya </t>
  </si>
  <si>
    <t xml:space="preserve">211203T-Beban sewa tanah dan gedung - tanah dan ruang perkantoran, apartemen, rumah dan sejenisnya </t>
  </si>
  <si>
    <t xml:space="preserve">212000T-Pembayaran penelitian dan pengembangan </t>
  </si>
  <si>
    <t xml:space="preserve">212100T-Pembayaran di bidang hukum, akuntansi termasuk konsultasi pajak, konsultasi manajemen, dan kehumasan. </t>
  </si>
  <si>
    <t xml:space="preserve">212200T-Pembayaran periklanan, penelitian pasar, dan jajak pendapat publik </t>
  </si>
  <si>
    <t xml:space="preserve">212300T-Pembayaran arsitektur, rekayasa, dan teknik lainnya. </t>
  </si>
  <si>
    <t xml:space="preserve">212400T-Pembayaran di bidang pengolahan sampah dan polusi, pertanian, dan pertambangan </t>
  </si>
  <si>
    <t xml:space="preserve">212500T-Pembayaran terkait perdagangan </t>
  </si>
  <si>
    <t xml:space="preserve">212900T-Penyelesaian saldo rekening (netting) </t>
  </si>
  <si>
    <t xml:space="preserve">213000T-Pembayaran di bidang seni, budaya, dan rekreasi </t>
  </si>
  <si>
    <t xml:space="preserve">213900T-Kelebihan pembayaran (refund) serta kelebihan pengakuan utang/piutang </t>
  </si>
  <si>
    <t xml:space="preserve">214000T-Pembayaran atas barang/jasa yang diberikan ke pemerintah asing </t>
  </si>
  <si>
    <t xml:space="preserve">216100T-Beban pajak dan sejenisnya </t>
  </si>
  <si>
    <t xml:space="preserve">216201T-Hibah atau sejenisnya (dalam bentuk cash) yang tidak dikaitkan dengan kewajiban membeli fixed asset </t>
  </si>
  <si>
    <t xml:space="preserve">216202T-Hibah atau sejenisnya (dalam bentuk cash) yang dikaitkan dengan kewajiban membeli fixed asset </t>
  </si>
  <si>
    <t xml:space="preserve">216203T-Hibah atau sejenisnya dalam bentuk barang (nonfinancial assets), seperti mesin </t>
  </si>
  <si>
    <t xml:space="preserve">216300T-Beban tenaga kerja </t>
  </si>
  <si>
    <t xml:space="preserve">216400T-Beban sanksi/denda, dan sejenisnya </t>
  </si>
  <si>
    <t xml:space="preserve">216500T-Beban atas hak untuk penggunaan sumber daya alam </t>
  </si>
  <si>
    <t xml:space="preserve">217000T-Bunga, dividen dan sejenisnya - Dividen dan keuntungan/laba yang dibagikan, termasuk keuntungan yang berasal dari reksadana </t>
  </si>
  <si>
    <t xml:space="preserve">218102T-Bunga, dividen dan sejenisnya - Surat-surat berharga yang diterbitkan oleh bukan penduduk - Lebih dari satu tahun </t>
  </si>
  <si>
    <t xml:space="preserve">218200T-Bunga, dividen dan sejenisnya - Rekening giro dan simpanan, termasuk tabungan dan deposito mudharabah. </t>
  </si>
  <si>
    <t xml:space="preserve">218300T-Bunga, dividen dan sejenisnya - Pinjaman </t>
  </si>
  <si>
    <t xml:space="preserve">218401T-Bunga, dividen dan sejenisnya - Surat-surat berharga yang diterbitkan oleh penduduk - Sampai dengan satu tahun </t>
  </si>
  <si>
    <t xml:space="preserve">218402T-Bunga, dividen dan sejenisnya - Surat-surat berharga yang diterbitkan oleh penduduk - Lebih dari satu tahun </t>
  </si>
  <si>
    <t xml:space="preserve">218500T-Bunga, dividen dan sejenisnya - Gold swap </t>
  </si>
  <si>
    <t xml:space="preserve">218600T-Beban atas transaksi securities lending dan gold loan/deposit </t>
  </si>
  <si>
    <t xml:space="preserve">219101T-Jual beli hak paten, hak cipta, lisensi, dan sejenisnya - Franchise dan trademarks </t>
  </si>
  <si>
    <t xml:space="preserve">219102T-Jual beli hak paten, hak cipta, lisensi, dan sejenisnya - Hasil penelitian dan pengembangan </t>
  </si>
  <si>
    <t xml:space="preserve">219201T-Jual beli tanah </t>
  </si>
  <si>
    <t xml:space="preserve">219202T-Jual beli gedung </t>
  </si>
  <si>
    <t xml:space="preserve">219900T-Pembayaran bisnis lainnya </t>
  </si>
  <si>
    <t xml:space="preserve">220101T-Penyertaan modal - di Indonesia </t>
  </si>
  <si>
    <t xml:space="preserve">220102T-Penyertaan modal - di luar Indonesia </t>
  </si>
  <si>
    <t xml:space="preserve">220201T-Divestasi penyertaan modal - di Indonesia </t>
  </si>
  <si>
    <t xml:space="preserve">220202T-Divestasi penyertaan modal - di luar Indonesia </t>
  </si>
  <si>
    <t xml:space="preserve">222100T-Pengembalian pinjaman dengan jangka waktu sampai dengan satu tahun </t>
  </si>
  <si>
    <t xml:space="preserve">222200T-Pengembalian pinjaman dengan jangka waktu lebih dari satu tahun </t>
  </si>
  <si>
    <t xml:space="preserve">223100T-Pembayaran pinjaman dengan jangka waktu sampai dengan satu tahun </t>
  </si>
  <si>
    <t xml:space="preserve">223200T-Pembayaran pinjaman dengan jangka waktu lebih dari satu tahun </t>
  </si>
  <si>
    <t xml:space="preserve">223300T-Financial leasing </t>
  </si>
  <si>
    <t xml:space="preserve">224001T-Factoring - Bank di Indonesia, dengan jangka waktu: Sampai dengan satu tahun </t>
  </si>
  <si>
    <t xml:space="preserve">224002T-Factoring - Bank di Indonesia, dengan jangka waktu: Lebih dari satu tahun </t>
  </si>
  <si>
    <t xml:space="preserve">224101T-Factoring - Perusahaan di Indonesia, dengan jangka waktu: Sampai dengan satu tahun </t>
  </si>
  <si>
    <t xml:space="preserve">224102T-Factoring - Perusahaan di Indonesia, dengan jangka waktu: Lebih dari satu tahun </t>
  </si>
  <si>
    <t xml:space="preserve">224201T-Factoring - Bank di luar negeri, dengan jangka waktu: Sampai dengan satu tahun </t>
  </si>
  <si>
    <t xml:space="preserve">224202T-Factoring - Bank di luar negeri, dengan jangka waktu: Lebih dari satu tahun </t>
  </si>
  <si>
    <t xml:space="preserve">224301T-Factoring - Perusahaan di luar negeri, dengan jangka waktu: Sampai dengan satu tahun </t>
  </si>
  <si>
    <t xml:space="preserve">224302T-Factoring - Perusahaan di luar negeri, dengan jangka waktu: Lebih dari satu tahun </t>
  </si>
  <si>
    <t xml:space="preserve">224400T-Working capital/cashcall </t>
  </si>
  <si>
    <t xml:space="preserve">224501T-Gold swap - Penyerahan dana oleh cash provider dalam transaksi gold swap dengan jangka waktu perjanjian: - sampai dengan satu tahun </t>
  </si>
  <si>
    <t xml:space="preserve">224502T-Gold swap - Penyerahan dana oleh cash provider dalam transaksi gold swap dengan jangka waktu perjanjian: - lebih dari satu tahun </t>
  </si>
  <si>
    <t xml:space="preserve">224601T-Gold swap - Pengembalian dana oleh gold owner dalam transaksi gold swap dengan jangka waktu perjanjian: - sampai dengan satu tahun </t>
  </si>
  <si>
    <t xml:space="preserve">224602T-Gold swap - Pengembalian dana oleh gold owner dalam transaksi gold swap dengan jangka waktu perjanjian: - lebih dari satu tahun </t>
  </si>
  <si>
    <t xml:space="preserve">225500T-Berkurangnya OCA atas untung OCA lainnya milik Perusahaan pelapor. </t>
  </si>
  <si>
    <t xml:space="preserve">225600T-Berkurangnya OCA atas untung giro/simpanan lainnya pada lembaga di luar negeri </t>
  </si>
  <si>
    <t xml:space="preserve">225700T-Berkurangnya OCA atas untung giro/simpanan di bank domestik </t>
  </si>
  <si>
    <t xml:space="preserve">226100T-Perdagangan valuta asing - Transaksi spot - valuta asing terhadap rupiah </t>
  </si>
  <si>
    <t xml:space="preserve">226200T-Perdagangan valuta asing - antar valuta asing </t>
  </si>
  <si>
    <t xml:space="preserve">226300T-Perdagangan valuta asing - Transaksi forward: - valuta asing terhadap rupiah </t>
  </si>
  <si>
    <t xml:space="preserve">226400T-Perdagangan valuta asing - Transaksi forward: - antar valuta asing </t>
  </si>
  <si>
    <t xml:space="preserve">226500T-Transaksi derivatif dan transaksi terkait lainnya - Kerugian atas transaksi forward atau sejenisnya (seperti swaps dan futures) </t>
  </si>
  <si>
    <t xml:space="preserve">226600T-Transaksi derivatif dan transaksi terkait lainnya - Pembayaran premium dalam transaksi option </t>
  </si>
  <si>
    <t xml:space="preserve">226700T-Transaksi derivatif dan transaksi terkait lainnya - Pembayaran untuk forward rate agreement (FRA) </t>
  </si>
  <si>
    <t xml:space="preserve">226801T-Transaksi derivatif dan transaksi terkait lainnya - Pembayaran dalam transaksi interest swap atau currency swap </t>
  </si>
  <si>
    <t xml:space="preserve">226900T-Transaksi derivatif dan transaksi terkait lainnya - Pembayaran untuk initial/repayable margin </t>
  </si>
  <si>
    <t xml:space="preserve">227000T-Transaksi derivatif dan transaksi terkait lainnya - Pembayaran untuk variation /nonrepayable margin </t>
  </si>
  <si>
    <t xml:space="preserve">227100T-Transaksi derivatif dan transaksi terkait lainnya - Pembayaran pokok (principal) dalam transaksi currency swap di awal transaksi (first leg) </t>
  </si>
  <si>
    <t xml:space="preserve">227200T-Transaksi derivatif dan transaksi terkait lainnya - Pembayaran pokok (principal) dalam transaksi currency swap pada saat transaksi berakhir (final leg) </t>
  </si>
  <si>
    <t xml:space="preserve">227300T-Transaksi derivatif dan transaksi terkait lainnya - Pembayaran premi dalam transaksi credit default swap </t>
  </si>
  <si>
    <t xml:space="preserve">227400T-Employee stock options </t>
  </si>
  <si>
    <t xml:space="preserve">228000T-Setoran Jaminan </t>
  </si>
  <si>
    <t xml:space="preserve">231100T-Surat berharga yang diterbitkan oleh bukan penduduk: - Saham </t>
  </si>
  <si>
    <t xml:space="preserve">232100T-Surat berharga yang diterbitkan oleh bukan penduduk berjangka waktu lebih dari satu tahun - Obligasi </t>
  </si>
  <si>
    <t xml:space="preserve">232200T-Surat berharga yang diterbitkan oleh bukan penduduk berjangka waktu lebih dari satu tahun - Medium Term Notes (MTNs) </t>
  </si>
  <si>
    <t xml:space="preserve">232300T-Surat berharga yang diterbitkan oleh bukan penduduk berjangka waktu lebih dari satu tahun - Surat berharga jangka panjang lainnya </t>
  </si>
  <si>
    <t xml:space="preserve">233100T-Surat berharga yang diterbitkan oleh bukan penduduk berjangka waktu sampai dengan satu tahun - Treasury Bills </t>
  </si>
  <si>
    <t xml:space="preserve">233200T-Surat berharga yang diterbitkan oleh bukan penduduk berjangka waktu sampai dengan satu tahun - Promissory Notes (PNs/Promes) </t>
  </si>
  <si>
    <t xml:space="preserve">233300T-Surat berharga yang diterbitkan oleh bukan penduduk berjangka waktu sampai dengan satu tahun - Surat berharga jangka pendek lainnya </t>
  </si>
  <si>
    <t xml:space="preserve">234100T-Surat berharga yang diterbitkan oleh penduduk: Saham </t>
  </si>
  <si>
    <t xml:space="preserve">234200T-Surat berharga yang diterbitkan oleh penduduk: Efek ekuitas lainnya, seperti warrant dan right </t>
  </si>
  <si>
    <t xml:space="preserve">235100T-Surat berharga yang diterbitkan oleh penduduk lebih dari satu tahun: Obligasi pemerintah Republik Indonesia seperti obligasi dalam rangka rekapitalisasi perbankan nasional dan Obligasi Ritel Indonesia (ORI) </t>
  </si>
  <si>
    <t xml:space="preserve">235200T-Surat berharga yang diterbitkan oleh penduduk lebih dari satu tahun: Obligasi Perusahaan </t>
  </si>
  <si>
    <t xml:space="preserve">235300T-Surat berharga yang diterbitkan oleh penduduk lebih dari satu tahun: Medium Term Notes (MTNs) </t>
  </si>
  <si>
    <t xml:space="preserve">235400T-Surat berharga yang diterbitkan oleh penduduk lebih dari satu tahun: Surat berharga jangka panjang lainnya. </t>
  </si>
  <si>
    <t xml:space="preserve">236100T-Surat berharga yang diterbitkan oleh penduduk sampai dengan satu tahun: Sertifikat Bank Indonesia (SBI) dan Sertifikat Wadiah Bank Indonesia (SWBI) </t>
  </si>
  <si>
    <t xml:space="preserve">236300T-Surat berharga yang diterbitkan oleh penduduk sampai dengan satu tahun: Promissory Notes (PNs/Promes) </t>
  </si>
  <si>
    <t xml:space="preserve">236400T-Surat berharga yang diterbitkan oleh penduduk sampai dengan satu tahun: Negotiable Certificate of Deposit (NCD) </t>
  </si>
  <si>
    <t xml:space="preserve">236500T-Surat berharga yang diterbitkan oleh penduduk sampai dengan satu tahun: Surat berharga jangka pendek lainnya. </t>
  </si>
  <si>
    <t xml:space="preserve">237200T-Reksadana yang diperdagangkan (Exchange Traded Fund) </t>
  </si>
  <si>
    <t xml:space="preserve">237300T-Penyertaan dalam Reksadana </t>
  </si>
  <si>
    <t xml:space="preserve">238301T-Repurchase Agreement (Repo) - Pembelian kembali oleh pemilik surat berharga yang telah dijual secara repo dengan jangka waktu: - sampai dengan satu tahun </t>
  </si>
  <si>
    <t xml:space="preserve">238302T-Repurchase Agreement (Repo) - Pembelian kembali oleh pemilik surat berharga yang telah dijual secara repo dengan jangka waktu: - lebih dari satu tahun </t>
  </si>
  <si>
    <t xml:space="preserve">238401T-Repurchase Agreement (Repo) - Pembelian surat berharga yang dijual secara repo dengan jangka waktu: - sampai dengan satu tahun </t>
  </si>
  <si>
    <t xml:space="preserve">238402T-Repurchase Agreement (Repo) - Pembelian surat berharga yang dijual secara repo dengan jangka waktu: - lebih dari satu tahun </t>
  </si>
  <si>
    <t xml:space="preserve">270100T-Pembayaran ke Bank Dalam Negeri </t>
  </si>
  <si>
    <t xml:space="preserve">290200T-Lainnya (jelaskan rinciannya) </t>
  </si>
  <si>
    <t>NET-Netting</t>
  </si>
  <si>
    <t>11-Perusahaan induk atau pihak yg memiliki saham perusahaan minimal 10% -SPV</t>
  </si>
  <si>
    <t>12-Perusahaan induk atau pihak yg memiliki saham perusahaan minimal 10% -Non SPV</t>
  </si>
  <si>
    <r>
      <t>21-Anak perusahaan (</t>
    </r>
    <r>
      <rPr>
        <i/>
        <sz val="11"/>
        <color indexed="8"/>
        <rFont val="Calibri"/>
        <family val="2"/>
      </rPr>
      <t>subsidiary</t>
    </r>
    <r>
      <rPr>
        <sz val="11"/>
        <color theme="1"/>
        <rFont val="Calibri"/>
        <family val="2"/>
        <charset val="1"/>
        <scheme val="minor"/>
      </rPr>
      <t xml:space="preserve">), </t>
    </r>
    <r>
      <rPr>
        <i/>
        <sz val="11"/>
        <color indexed="8"/>
        <rFont val="Calibri"/>
        <family val="2"/>
      </rPr>
      <t>branch</t>
    </r>
    <r>
      <rPr>
        <sz val="11"/>
        <color theme="1"/>
        <rFont val="Calibri"/>
        <family val="2"/>
        <charset val="1"/>
        <scheme val="minor"/>
      </rPr>
      <t>, perusahaan asosiasi (</t>
    </r>
    <r>
      <rPr>
        <i/>
        <sz val="11"/>
        <color indexed="8"/>
        <rFont val="Calibri"/>
        <family val="2"/>
      </rPr>
      <t>associate</t>
    </r>
    <r>
      <rPr>
        <sz val="11"/>
        <color theme="1"/>
        <rFont val="Calibri"/>
        <family val="2"/>
        <charset val="1"/>
        <scheme val="minor"/>
      </rPr>
      <t>) -SPV</t>
    </r>
  </si>
  <si>
    <r>
      <t>22-Anak perusahaan (</t>
    </r>
    <r>
      <rPr>
        <i/>
        <sz val="11"/>
        <color indexed="8"/>
        <rFont val="Calibri"/>
        <family val="2"/>
      </rPr>
      <t>subsidiary</t>
    </r>
    <r>
      <rPr>
        <sz val="11"/>
        <color theme="1"/>
        <rFont val="Calibri"/>
        <family val="2"/>
        <charset val="1"/>
        <scheme val="minor"/>
      </rPr>
      <t xml:space="preserve">), </t>
    </r>
    <r>
      <rPr>
        <i/>
        <sz val="11"/>
        <color indexed="8"/>
        <rFont val="Calibri"/>
        <family val="2"/>
      </rPr>
      <t>branch</t>
    </r>
    <r>
      <rPr>
        <sz val="11"/>
        <color theme="1"/>
        <rFont val="Calibri"/>
        <family val="2"/>
        <charset val="1"/>
        <scheme val="minor"/>
      </rPr>
      <t>, perusahaan asosiasi (</t>
    </r>
    <r>
      <rPr>
        <i/>
        <sz val="11"/>
        <color indexed="8"/>
        <rFont val="Calibri"/>
        <family val="2"/>
      </rPr>
      <t>associate</t>
    </r>
    <r>
      <rPr>
        <sz val="11"/>
        <color theme="1"/>
        <rFont val="Calibri"/>
        <family val="2"/>
        <charset val="1"/>
        <scheme val="minor"/>
      </rPr>
      <t xml:space="preserve">) -Non SPV </t>
    </r>
  </si>
  <si>
    <r>
      <t>31-Perusahaan dalam satu grup (</t>
    </r>
    <r>
      <rPr>
        <i/>
        <sz val="11"/>
        <color indexed="8"/>
        <rFont val="Calibri"/>
        <family val="2"/>
      </rPr>
      <t>fellow subsidiaries</t>
    </r>
    <r>
      <rPr>
        <sz val="11"/>
        <color theme="1"/>
        <rFont val="Calibri"/>
        <family val="2"/>
        <charset val="1"/>
        <scheme val="minor"/>
      </rPr>
      <t>)</t>
    </r>
  </si>
  <si>
    <t>41-Non afiliasi</t>
  </si>
  <si>
    <t>140102A-debet Bunga Simpanan lainnya (tabungan, deposito, dan lainnya)</t>
  </si>
  <si>
    <t>140110A-debet Bunga Pinjaman yg diberikan</t>
  </si>
  <si>
    <t>140111A-debet Bunga Tagihan lainnya</t>
  </si>
  <si>
    <t>240102A-kredit Bunga Simpanan lainnya (tabungan, deposito, dan lainnya)</t>
  </si>
  <si>
    <t>240110A-kredit Bunga Pinjaman yg diberikan</t>
  </si>
  <si>
    <t>240111A-kredit Bunga Tagihan lainnya</t>
  </si>
  <si>
    <t>540102A-perubahan lain debet Bunga Simpanan lainnya (tabungan, deposito, dan lainnya)</t>
  </si>
  <si>
    <t>540110A-perubahan lain debet Bunga Pinjaman yg diberikan</t>
  </si>
  <si>
    <t>540111A-perubahan lain debet Bunga Tagihan lainnya</t>
  </si>
  <si>
    <t>640102A-perubahan lain kredit Bunga Simpanan lainnya (tabungan, deposito, dan lainnya)</t>
  </si>
  <si>
    <t>640110A-perubahan lain kredit Bunga Pinjaman yg diberikan</t>
  </si>
  <si>
    <t>640111A-perubahan lain kredit Bunga Tagihan lainnya</t>
  </si>
  <si>
    <t>117031A-debet piutang deviden saham listed</t>
  </si>
  <si>
    <t>117032A-debet piutang deviden saham unlisted</t>
  </si>
  <si>
    <t>117033A-debet piutang deviden lainnya</t>
  </si>
  <si>
    <t>117131A-debet laba ditahan saham listed</t>
  </si>
  <si>
    <t>117132A-debet laba ditahan saham unlisted</t>
  </si>
  <si>
    <t>117133A-debet laba ditahan lainnya</t>
  </si>
  <si>
    <t>120331A-debet saham listed</t>
  </si>
  <si>
    <t>120332A-debet saham unlisted</t>
  </si>
  <si>
    <t>120333A-debet lainnya (penyertaan dalam bentuk bukan saham)</t>
  </si>
  <si>
    <t>217031A-kredit piutang deviden saham listed</t>
  </si>
  <si>
    <t>217032A-kredit piutang deviden saham unlisted</t>
  </si>
  <si>
    <t>217033A-kredit piutang deviden lainnya</t>
  </si>
  <si>
    <t>217131A-kredit laba ditahan saham listed</t>
  </si>
  <si>
    <t>217132A-kredit laba ditahan saham unlisted</t>
  </si>
  <si>
    <t>217133A-kredit laba ditahan lainnya</t>
  </si>
  <si>
    <t>220331A-kredit saham listed</t>
  </si>
  <si>
    <t>220332A-kredit saham unlisted</t>
  </si>
  <si>
    <t>220333A-kredit lainnya (penyertaan dalam bentuk bukan saham)</t>
  </si>
  <si>
    <t>517131A-perubahan lain debet laba ditahan saham listed</t>
  </si>
  <si>
    <t>517132A-perubahan lain debet laba ditahan saham unlisted</t>
  </si>
  <si>
    <t>517133A-perubahan lain debet laba ditahan lainnya</t>
  </si>
  <si>
    <t>520331A-perubahan lain debet saham listed</t>
  </si>
  <si>
    <t>520332A-perubahan lain debet saham unlisted</t>
  </si>
  <si>
    <t>520333A-perubahan lain debet lainnya (penyertaan dalam bentuk bukan saham)</t>
  </si>
  <si>
    <t>617131A-perubahan lain kredit laba ditahan saham listed</t>
  </si>
  <si>
    <t>617132A-perubahan lain kredit laba ditahan saham unlisted</t>
  </si>
  <si>
    <t>617133A-perubahan lain kredit laba ditahan lainnya</t>
  </si>
  <si>
    <t>620331A-perubahan lain kredit saham listed</t>
  </si>
  <si>
    <t>620332A-perubahan lain kredit saham unlisted</t>
  </si>
  <si>
    <t>620333A-perubahan lain kredit lainnya (penyertaan dalam bentuk bukan saham)</t>
  </si>
  <si>
    <t>720331A-perubahan harga saham listed</t>
  </si>
  <si>
    <t>720332A-perubahan harga saham unlisted</t>
  </si>
  <si>
    <t>720333A-perubahan harga lainnya (penyertaan dalam bentuk bukan saham)</t>
  </si>
  <si>
    <t>720611A-Perubahan Harga Saham Listed</t>
  </si>
  <si>
    <t>720612A-Perubahan Harga Saham Unlisted</t>
  </si>
  <si>
    <t>720613A-Perubahan Harga Saham Lainnya (termasuk saham repo)</t>
  </si>
  <si>
    <t>720811A-Perubahan Harga Money market fund shares/units</t>
  </si>
  <si>
    <t>720812A-Perubahan Harga Other investment fund shares/units</t>
  </si>
  <si>
    <t>720711A-Perubahan Harga Promissory Notes</t>
  </si>
  <si>
    <t>720712A-Perubahan Harga Commercial Papers</t>
  </si>
  <si>
    <t>720713A-Perubahan Harga T-Bills / T-Notes</t>
  </si>
  <si>
    <t>720714A-Perubahan Harga Banker's Acceptance</t>
  </si>
  <si>
    <t>720715A-Perubahan Harga Obligasi / Bonds</t>
  </si>
  <si>
    <t>720716A-Perubahan Harga Floating Rate Notes / FRN</t>
  </si>
  <si>
    <t>720717A-Perubahan Harga Medium Term Notes / MTN</t>
  </si>
  <si>
    <t>720718A-Perubahan Harga Surat Utang Repo</t>
  </si>
  <si>
    <t>720719A-Perubahan Harga Surat Utang Lainnya</t>
  </si>
  <si>
    <t>720720A-Perubahan Harga Certificate of Deposit</t>
  </si>
  <si>
    <t>720721A-Perubahan Harga Negotiable Certificate Deposit</t>
  </si>
  <si>
    <t>720722A-Perubahan Harga Floating Rate Certificate of Deposit</t>
  </si>
  <si>
    <t>720723A-Perubahan Harga Asset Backed Securities</t>
  </si>
  <si>
    <t>720599A-Perubahan Harga Surat Berharga Lainnya</t>
  </si>
  <si>
    <t>313009A-Koreksi Debet Tagihan Komitmen Lainnya</t>
  </si>
  <si>
    <t>313009K-Koreksi Debet Kewajiban Komitmen Lainnya</t>
  </si>
  <si>
    <t>322009A-Koreksi Debet Tagihan Kontinjensi Lainnya</t>
  </si>
  <si>
    <t>322009K-Koreksi Debet Kewajiban Kontinjensi Lainnya</t>
  </si>
  <si>
    <t>413009A-Koreksi Kredit Tagihan Komitmen Lainnya</t>
  </si>
  <si>
    <t>413009K-Koreksi Kredit Kewajiban Komitmen Lainnya</t>
  </si>
  <si>
    <t>422009A-Koreksi Kredit Tagihan Kontinjensi Lainnya</t>
  </si>
  <si>
    <t>422009K-Koreksi Kredit Kewajiban Kontinjensi Lainnya</t>
  </si>
  <si>
    <t>913009A-posisi akhir Tagihan Komitmen Lainnya</t>
  </si>
  <si>
    <t>913009K-posisi akhir Kewajiban Komitmen Lainnya</t>
  </si>
  <si>
    <t>922009A-posisi akhir Tagihan Kontinjensi Lainnya</t>
  </si>
  <si>
    <t>922009K-posisi akhir Kewajiban Kontinjensi Lainnya</t>
  </si>
  <si>
    <t xml:space="preserve">136200T-Surat berharga yang diterbitkan oleh penduduk sampai dengan satu tahun: Surat Perbendaharaan Negara (SPN) </t>
  </si>
  <si>
    <t xml:space="preserve">101310T-Pengembalian dana (refunds) dalam rangka pembelian barang di dalam wilayah Indonesia </t>
  </si>
  <si>
    <t xml:space="preserve">236200T-Surat berharga yang diterbitkan oleh penduduk sampai dengan satu tahun: Surat Perbendaharaan Negara (SPN) </t>
  </si>
  <si>
    <t xml:space="preserve">201310T-Pengembalian dana (refunds) dalam rangka penjualan barang di dalam wilayah Indonesia </t>
  </si>
  <si>
    <t xml:space="preserve">AF-Afghanistan </t>
  </si>
  <si>
    <t>AX-Aland Islands</t>
  </si>
  <si>
    <t xml:space="preserve">AL-Albania </t>
  </si>
  <si>
    <t xml:space="preserve">DZ-Algeria/ Aljazair </t>
  </si>
  <si>
    <t xml:space="preserve">AS-America Samoa </t>
  </si>
  <si>
    <t xml:space="preserve">AD-Andorra </t>
  </si>
  <si>
    <t xml:space="preserve">AO-Angola </t>
  </si>
  <si>
    <t xml:space="preserve">AI-Anguilla </t>
  </si>
  <si>
    <t xml:space="preserve">AQ-Antarctica </t>
  </si>
  <si>
    <t xml:space="preserve">AG-Antigua And Barbuda </t>
  </si>
  <si>
    <t xml:space="preserve">AR-Argentina </t>
  </si>
  <si>
    <t xml:space="preserve">AM-Armenia  </t>
  </si>
  <si>
    <t xml:space="preserve">AW-Aruba </t>
  </si>
  <si>
    <t xml:space="preserve">AU-Australia </t>
  </si>
  <si>
    <t xml:space="preserve">AT-Austria </t>
  </si>
  <si>
    <t xml:space="preserve">AZ-Azerbaijan  </t>
  </si>
  <si>
    <t xml:space="preserve">BS-Bahamas </t>
  </si>
  <si>
    <t xml:space="preserve">BH-Bahrain </t>
  </si>
  <si>
    <t xml:space="preserve">BD-Bangladesh </t>
  </si>
  <si>
    <t xml:space="preserve">BB-Barbados </t>
  </si>
  <si>
    <t xml:space="preserve">BY-Belarus  </t>
  </si>
  <si>
    <t xml:space="preserve">BE-Belgium </t>
  </si>
  <si>
    <t xml:space="preserve">BZ-Belize </t>
  </si>
  <si>
    <t xml:space="preserve">BJ-Benin </t>
  </si>
  <si>
    <t xml:space="preserve">BM-Bermuda </t>
  </si>
  <si>
    <t xml:space="preserve">BT-Bhutan </t>
  </si>
  <si>
    <t>BO-Bolivia, Plurinational State of</t>
  </si>
  <si>
    <t xml:space="preserve">BA-Bosnia And Herzegowina </t>
  </si>
  <si>
    <t xml:space="preserve">BW-Botswana </t>
  </si>
  <si>
    <t xml:space="preserve">BV-Bouvet Island </t>
  </si>
  <si>
    <t xml:space="preserve">BR-Brazil </t>
  </si>
  <si>
    <t xml:space="preserve">IO-British Indian Ocean Territory </t>
  </si>
  <si>
    <t xml:space="preserve">BN-Brunei Darussalam </t>
  </si>
  <si>
    <t xml:space="preserve">BG-Bulgaria </t>
  </si>
  <si>
    <t xml:space="preserve">BF-Burkina Faso </t>
  </si>
  <si>
    <t xml:space="preserve">BI-Burundi </t>
  </si>
  <si>
    <t xml:space="preserve">KH-Cambodia </t>
  </si>
  <si>
    <t xml:space="preserve">CF-Central African Republic </t>
  </si>
  <si>
    <t xml:space="preserve">CN-China </t>
  </si>
  <si>
    <t xml:space="preserve">CX-Christmas Islands </t>
  </si>
  <si>
    <t xml:space="preserve">CC-Cocos (Keeling) Islands </t>
  </si>
  <si>
    <t xml:space="preserve">CO-Colombia  </t>
  </si>
  <si>
    <t xml:space="preserve">KM-Comoros </t>
  </si>
  <si>
    <t xml:space="preserve">CD-Congo, The Democratic Republic Of  The </t>
  </si>
  <si>
    <t xml:space="preserve">CK-Cook Islands </t>
  </si>
  <si>
    <t xml:space="preserve">CR-Costa Rica </t>
  </si>
  <si>
    <t xml:space="preserve">CI-Cote D'ivoire </t>
  </si>
  <si>
    <t xml:space="preserve">HR-Croatia </t>
  </si>
  <si>
    <t xml:space="preserve">CU-Cuba </t>
  </si>
  <si>
    <t xml:space="preserve">CY-Cyprus </t>
  </si>
  <si>
    <t xml:space="preserve">CZ-Czech Republic </t>
  </si>
  <si>
    <t xml:space="preserve">DK-Denmark </t>
  </si>
  <si>
    <t xml:space="preserve">DJ-Djibouti </t>
  </si>
  <si>
    <t xml:space="preserve">DO-Dominican Republic </t>
  </si>
  <si>
    <t>ED-Ecuador</t>
  </si>
  <si>
    <t xml:space="preserve">EG-Egypt </t>
  </si>
  <si>
    <t xml:space="preserve">SV-El Salvador </t>
  </si>
  <si>
    <t xml:space="preserve">GQ-Equatorial Guinea </t>
  </si>
  <si>
    <t xml:space="preserve">ER-Eritrea  </t>
  </si>
  <si>
    <t xml:space="preserve">EE-Estonia </t>
  </si>
  <si>
    <t xml:space="preserve">ET-Ethiopia </t>
  </si>
  <si>
    <t xml:space="preserve">FK-Falkland Islands (Malvinas) </t>
  </si>
  <si>
    <t xml:space="preserve">FO-Faroe Islands  </t>
  </si>
  <si>
    <t xml:space="preserve">FJ-Fiji </t>
  </si>
  <si>
    <t xml:space="preserve">FI-Finland </t>
  </si>
  <si>
    <t xml:space="preserve">FR-France </t>
  </si>
  <si>
    <t xml:space="preserve">GF-French Guiana </t>
  </si>
  <si>
    <t xml:space="preserve">PF-French Polynesia </t>
  </si>
  <si>
    <t xml:space="preserve">TF-French Southern Territories </t>
  </si>
  <si>
    <t xml:space="preserve">GA-Gabon </t>
  </si>
  <si>
    <t xml:space="preserve">GM-Gambia </t>
  </si>
  <si>
    <t xml:space="preserve">GE-Georgia </t>
  </si>
  <si>
    <t xml:space="preserve">DE-Germany  </t>
  </si>
  <si>
    <t xml:space="preserve">GH-Ghana </t>
  </si>
  <si>
    <t xml:space="preserve">GI-Gibraltar </t>
  </si>
  <si>
    <t xml:space="preserve">GR-Greece </t>
  </si>
  <si>
    <t xml:space="preserve">GL-Greenland </t>
  </si>
  <si>
    <t xml:space="preserve">GD-Grenada </t>
  </si>
  <si>
    <t xml:space="preserve">GP-Guadeloupe </t>
  </si>
  <si>
    <t xml:space="preserve">GU-Guam </t>
  </si>
  <si>
    <t xml:space="preserve">GT-Guatemala </t>
  </si>
  <si>
    <t>GG-Guernsey</t>
  </si>
  <si>
    <t xml:space="preserve">GN-Guinea </t>
  </si>
  <si>
    <t xml:space="preserve">GW-Guinea Bissau </t>
  </si>
  <si>
    <t xml:space="preserve">GY-Guyana </t>
  </si>
  <si>
    <t xml:space="preserve">HT-Haiti </t>
  </si>
  <si>
    <t>HM-Heard And Mcdonald Islands</t>
  </si>
  <si>
    <t xml:space="preserve">VA-Holy See (Vatican City State) </t>
  </si>
  <si>
    <t xml:space="preserve">HN-Honduras </t>
  </si>
  <si>
    <t xml:space="preserve">HK-Hongkong </t>
  </si>
  <si>
    <t xml:space="preserve">HU-Hungary </t>
  </si>
  <si>
    <t xml:space="preserve">IS-Iceland </t>
  </si>
  <si>
    <t xml:space="preserve">IN-India  </t>
  </si>
  <si>
    <t xml:space="preserve">ID-Indonesia </t>
  </si>
  <si>
    <t xml:space="preserve">IR-Iran, Islamic Republic Of </t>
  </si>
  <si>
    <t xml:space="preserve">IQ-Iraq </t>
  </si>
  <si>
    <t xml:space="preserve">IE-Ireland </t>
  </si>
  <si>
    <t>IM-Isle of Man</t>
  </si>
  <si>
    <t xml:space="preserve">IL-Israel </t>
  </si>
  <si>
    <t xml:space="preserve">IT-Italy </t>
  </si>
  <si>
    <t xml:space="preserve">JM-Jamaica </t>
  </si>
  <si>
    <t xml:space="preserve">JP-Japan </t>
  </si>
  <si>
    <t>JE-Jersey</t>
  </si>
  <si>
    <t xml:space="preserve">JO-Jordan </t>
  </si>
  <si>
    <t xml:space="preserve">KZ-Kazakhstan  </t>
  </si>
  <si>
    <t xml:space="preserve">KE-Kenya </t>
  </si>
  <si>
    <t xml:space="preserve">KI-Kiribati </t>
  </si>
  <si>
    <t xml:space="preserve">KP-Korea, Democratic People's Republic </t>
  </si>
  <si>
    <t xml:space="preserve">KR-Korea, Republic Of </t>
  </si>
  <si>
    <t xml:space="preserve">KW-Kuwait </t>
  </si>
  <si>
    <t xml:space="preserve">KG-Kyrgyzstan  </t>
  </si>
  <si>
    <t xml:space="preserve">LA-Lao People's Democ. Rep. </t>
  </si>
  <si>
    <t xml:space="preserve">LV-Latvia </t>
  </si>
  <si>
    <t xml:space="preserve">LB-Lebanon </t>
  </si>
  <si>
    <t xml:space="preserve">LS-Lesotho </t>
  </si>
  <si>
    <t xml:space="preserve">LR-Liberia </t>
  </si>
  <si>
    <t xml:space="preserve">LY-Libyan Arab Jamahiriya </t>
  </si>
  <si>
    <t xml:space="preserve">LI-Liechtenstein </t>
  </si>
  <si>
    <t xml:space="preserve">LT-Lithuania </t>
  </si>
  <si>
    <t xml:space="preserve">LU-Luxembourg </t>
  </si>
  <si>
    <t xml:space="preserve">MO-Macao </t>
  </si>
  <si>
    <t>MK-Macedonia, The Former Yogoslav Republic Of</t>
  </si>
  <si>
    <t xml:space="preserve">MG-Madagascar  </t>
  </si>
  <si>
    <t xml:space="preserve">MW-Malawi </t>
  </si>
  <si>
    <t xml:space="preserve">MY-Malaysia </t>
  </si>
  <si>
    <t xml:space="preserve">MV-Maldives </t>
  </si>
  <si>
    <t xml:space="preserve">ML-Mali </t>
  </si>
  <si>
    <t xml:space="preserve">MT-Malta </t>
  </si>
  <si>
    <t xml:space="preserve">MH-Marshall Islands </t>
  </si>
  <si>
    <t xml:space="preserve">MQ-Martinique </t>
  </si>
  <si>
    <t xml:space="preserve">MR-Mauritania </t>
  </si>
  <si>
    <t xml:space="preserve">MU-Mauritius </t>
  </si>
  <si>
    <t xml:space="preserve">YT-Mayotte </t>
  </si>
  <si>
    <t xml:space="preserve">MX-Mexico </t>
  </si>
  <si>
    <t xml:space="preserve">FM-Micronesia, Federated State Of </t>
  </si>
  <si>
    <t xml:space="preserve">MD-Moldova, Republic Of </t>
  </si>
  <si>
    <t xml:space="preserve">MC-Monaco </t>
  </si>
  <si>
    <t xml:space="preserve">MN-Mongolia </t>
  </si>
  <si>
    <t xml:space="preserve">ME-Montenegro </t>
  </si>
  <si>
    <t xml:space="preserve">MS-Montserrat </t>
  </si>
  <si>
    <t xml:space="preserve">MA-Morocco </t>
  </si>
  <si>
    <t xml:space="preserve">MZ-Mozambique </t>
  </si>
  <si>
    <t xml:space="preserve">MM-Myanmar (Burma) </t>
  </si>
  <si>
    <t xml:space="preserve">NA-Namibia </t>
  </si>
  <si>
    <t xml:space="preserve">NR-Nauru </t>
  </si>
  <si>
    <t xml:space="preserve">NP-Nepal </t>
  </si>
  <si>
    <t xml:space="preserve">NL-Netherlands </t>
  </si>
  <si>
    <t xml:space="preserve">AN-Netherlands Antilles </t>
  </si>
  <si>
    <t xml:space="preserve">NC-New Caledonia </t>
  </si>
  <si>
    <t xml:space="preserve">NZ-New Zealand </t>
  </si>
  <si>
    <t xml:space="preserve">NI-Nicaragua </t>
  </si>
  <si>
    <t xml:space="preserve">NE-Niger </t>
  </si>
  <si>
    <t xml:space="preserve">NG-Nigeria </t>
  </si>
  <si>
    <t xml:space="preserve">NU-Nieue  </t>
  </si>
  <si>
    <t xml:space="preserve">NF-Norfolk Islands </t>
  </si>
  <si>
    <t xml:space="preserve">NO-Norway </t>
  </si>
  <si>
    <t xml:space="preserve">OM-Oman </t>
  </si>
  <si>
    <t xml:space="preserve">PK-Pakistan </t>
  </si>
  <si>
    <t xml:space="preserve">PW-Palau </t>
  </si>
  <si>
    <t>PS-Palestinian Territory, Occupied</t>
  </si>
  <si>
    <t xml:space="preserve">PA-Panama </t>
  </si>
  <si>
    <t xml:space="preserve">PG-Papua New Guinea </t>
  </si>
  <si>
    <t xml:space="preserve">PY-Paraguay </t>
  </si>
  <si>
    <t xml:space="preserve">PE-Peru </t>
  </si>
  <si>
    <t xml:space="preserve">PH-Philippines </t>
  </si>
  <si>
    <t xml:space="preserve">PN-Pitcairn  </t>
  </si>
  <si>
    <t xml:space="preserve">PL-Poland  </t>
  </si>
  <si>
    <t xml:space="preserve">PT-Portugal </t>
  </si>
  <si>
    <t xml:space="preserve">PR-Puerto Rico </t>
  </si>
  <si>
    <t xml:space="preserve">QA-Qatar </t>
  </si>
  <si>
    <t xml:space="preserve">RE-Reunion </t>
  </si>
  <si>
    <t xml:space="preserve">RO-Romania </t>
  </si>
  <si>
    <t xml:space="preserve">RU-Russian Federation </t>
  </si>
  <si>
    <t xml:space="preserve">RW-Rwanda </t>
  </si>
  <si>
    <t>BL-Saint Barthelemy</t>
  </si>
  <si>
    <t>SH-Saint Helena</t>
  </si>
  <si>
    <t>KN-Saint Kitts and Nevis</t>
  </si>
  <si>
    <t>MF-Saint Martin</t>
  </si>
  <si>
    <t>PM-Saint Pierre and Miquelon</t>
  </si>
  <si>
    <t>VC-Saint Vincent and The Grenadines</t>
  </si>
  <si>
    <t xml:space="preserve">WS-Samoa </t>
  </si>
  <si>
    <t xml:space="preserve">SM-San Marino </t>
  </si>
  <si>
    <t xml:space="preserve">ST-Sao Tome &amp; Principe </t>
  </si>
  <si>
    <t xml:space="preserve">SA-Saudi Arabia </t>
  </si>
  <si>
    <t xml:space="preserve">SN-Senegal </t>
  </si>
  <si>
    <t xml:space="preserve">RS-Serbia </t>
  </si>
  <si>
    <t xml:space="preserve">SC-Seychelles </t>
  </si>
  <si>
    <t xml:space="preserve">SL-Siera Leoner </t>
  </si>
  <si>
    <t xml:space="preserve">SG-Singapore </t>
  </si>
  <si>
    <t>SK-Slovakia</t>
  </si>
  <si>
    <t xml:space="preserve">SI-Slovenia </t>
  </si>
  <si>
    <t xml:space="preserve">SB-Solomon Islands </t>
  </si>
  <si>
    <t xml:space="preserve">SO-Somalia </t>
  </si>
  <si>
    <t xml:space="preserve">ZA-South Africa </t>
  </si>
  <si>
    <t>GS-South Georgia And South Sandwich Islands</t>
  </si>
  <si>
    <t xml:space="preserve">ES-Spain </t>
  </si>
  <si>
    <t>LK-Sri Langka</t>
  </si>
  <si>
    <t xml:space="preserve">SD-Sudan </t>
  </si>
  <si>
    <t xml:space="preserve">SR-Suriname </t>
  </si>
  <si>
    <t xml:space="preserve">SJ-Svalbard And Jan Mayen Island </t>
  </si>
  <si>
    <t xml:space="preserve">SZ-Swaziland </t>
  </si>
  <si>
    <t xml:space="preserve">SE-Sweden </t>
  </si>
  <si>
    <t xml:space="preserve">CH-Switzerland </t>
  </si>
  <si>
    <t xml:space="preserve">SY-Syrian Arab Republic </t>
  </si>
  <si>
    <t xml:space="preserve">TW-Taiwan, Province Of China </t>
  </si>
  <si>
    <t xml:space="preserve">TJ-Tajikistan </t>
  </si>
  <si>
    <t>TZ-Tanzania, United Republic of</t>
  </si>
  <si>
    <t xml:space="preserve">TH-Thailand </t>
  </si>
  <si>
    <t xml:space="preserve">TL-Timor-Leste </t>
  </si>
  <si>
    <t xml:space="preserve">TG-Togo </t>
  </si>
  <si>
    <t xml:space="preserve">TO-Tonga </t>
  </si>
  <si>
    <t xml:space="preserve">TT-Trinidad And Tobago </t>
  </si>
  <si>
    <t xml:space="preserve">TN-Tunisia </t>
  </si>
  <si>
    <t xml:space="preserve">TR-Turkey </t>
  </si>
  <si>
    <t xml:space="preserve">TM-Turkmenistan </t>
  </si>
  <si>
    <t xml:space="preserve">TC-Turks And Caicos Island </t>
  </si>
  <si>
    <t xml:space="preserve">TV-Tuvalu </t>
  </si>
  <si>
    <t xml:space="preserve">UG-Uganda  </t>
  </si>
  <si>
    <t xml:space="preserve">UA-Ukraine </t>
  </si>
  <si>
    <t xml:space="preserve">AE-United Arab Emirat </t>
  </si>
  <si>
    <t xml:space="preserve">GB-United Kingdom </t>
  </si>
  <si>
    <t xml:space="preserve">US-United States Of America </t>
  </si>
  <si>
    <t>UM-United States Minor Outlying Islands</t>
  </si>
  <si>
    <t xml:space="preserve">UY-Uruguay  </t>
  </si>
  <si>
    <t xml:space="preserve">UZ-Uzbekistan </t>
  </si>
  <si>
    <t xml:space="preserve">VU-Vanuatu </t>
  </si>
  <si>
    <t xml:space="preserve">VE-Venezuela </t>
  </si>
  <si>
    <t xml:space="preserve">VN-Vietnam </t>
  </si>
  <si>
    <t xml:space="preserve">VG-Virgin Islands (British) </t>
  </si>
  <si>
    <t xml:space="preserve">VI-Virgin Islands (US) </t>
  </si>
  <si>
    <t xml:space="preserve">WF-Wallis And Futuna Islands </t>
  </si>
  <si>
    <t xml:space="preserve">EH-Western Sahara </t>
  </si>
  <si>
    <t xml:space="preserve">YE-Yemen </t>
  </si>
  <si>
    <t xml:space="preserve">ZM-Zambia </t>
  </si>
  <si>
    <t xml:space="preserve">ZW-Zimbabwe </t>
  </si>
  <si>
    <t>CPL-Cara Pembayaran Lainnya</t>
  </si>
  <si>
    <t>RLN-Rekening Luar Negeri</t>
  </si>
  <si>
    <t>RDN-Rekening Dalam Negeri</t>
  </si>
  <si>
    <t>3_Tidak ada jangka waktu</t>
  </si>
  <si>
    <t>140001A-Debet penambahan piutang barang</t>
  </si>
  <si>
    <t>240001A-Kredit pengurangan piutang barang</t>
  </si>
  <si>
    <t>340001A-koreksi debet koreksi penambahan piutang barang</t>
  </si>
  <si>
    <t>440001A-koreksi kredit koreksi pengurangan piutang barang</t>
  </si>
  <si>
    <t>540001A-mutasi lain debet mutasi lainnya debet piutang barang</t>
  </si>
  <si>
    <t>640001A-mutasi lain kredit mutasi lainnya kredit piutang barang</t>
  </si>
  <si>
    <t>140002A-Debet transaksi barang selain piutang penjualan</t>
  </si>
  <si>
    <t>240002A-Kredit  transaksi barang selain piutang penjualan</t>
  </si>
  <si>
    <t>340002A-Koreksi debet transaksi barang selain piutang penjualan</t>
  </si>
  <si>
    <t>440002A-Koreksi kredit transaksi barang selain piutang penjualan</t>
  </si>
  <si>
    <t>540002A-Mutasi lainnya debet transaksi barang selain piutang penjualan</t>
  </si>
  <si>
    <t>640002A-Mutasi lainnya kredit transaksi barang selain piutang penjualan</t>
  </si>
  <si>
    <t>140003A-Debet piutang selain penjualan barang</t>
  </si>
  <si>
    <t>240003A-Kredit piutang selain penjualan barang</t>
  </si>
  <si>
    <t>340003A-Koreksi debet piutang selain penjualan barang</t>
  </si>
  <si>
    <t>440003A-Koreksi kredit piutang selain penjualan barang</t>
  </si>
  <si>
    <t>540003A-Mutasi lainnya debet piutang selain penjualan barang</t>
  </si>
  <si>
    <t>640003A-Mutasi lainnya kredit piutang selain penjualan barang</t>
  </si>
  <si>
    <t>340001A-Adjustment debet Kas dalam valas</t>
  </si>
  <si>
    <t>340002A-Adjustment debet Simpanan (Tabungan, deposito dan simpanan lainnya, kecuali giro) *)</t>
  </si>
  <si>
    <t>340003A-Adjustment debet Premi asuransi jiwa dibayar dimuka (untuk perusahaan non asuransi)</t>
  </si>
  <si>
    <t>340004A-Adjustment debet Premi asuransi freight dibayar dimuka (untuk perusahaan non asuransi)</t>
  </si>
  <si>
    <t>340005A-Adjustment debet Premi asuransi nonjiwa selain freight dibayar dimuka (untuk perusahaan non asuransi)</t>
  </si>
  <si>
    <t>340006A-Adjustment debet Piutang klaim asuransi jiwa (untuk perusahaan non asuransi)</t>
  </si>
  <si>
    <t>340007A-Adjustment debet Piutang klaim asuransi freight (untuk perusahaan non asuransi)</t>
  </si>
  <si>
    <t>340008A-Adjustment debet Piutang klaim asuransi nonjiwa selain freight (untuk perusahaan non asuransi)</t>
  </si>
  <si>
    <t>340009A-Adjustment debet Uang muka (advance payment) untuk pembelian barang dan jasa (termasuk pembelian aktiva tetap)</t>
  </si>
  <si>
    <t>340010A-Adjustment debet Pinjaman yg diberikan *)</t>
  </si>
  <si>
    <t>340011A-Adjustment debet Tagihan lainnya *)</t>
  </si>
  <si>
    <t>340102A-Adjustment debet Bunga Simpanan lainnya (tabungan, deposito, dan lainnya)</t>
  </si>
  <si>
    <t>340110A-Adjustment debet Bunga Pinjaman yg diberikan</t>
  </si>
  <si>
    <t>340111A-Adjustment debet Bunga Tagihan lainnya</t>
  </si>
  <si>
    <t>440001A-Adjustment kredit Kas dalam valas</t>
  </si>
  <si>
    <t>440002A-Adjustment kredit Simpanan (Tabungan, deposito dan simpanan lainnya, kecuali giro) *)</t>
  </si>
  <si>
    <t>440003A-Adjustment kredit Premi asuransi jiwa dibayar dimuka (untuk perusahaan non asuransi)</t>
  </si>
  <si>
    <t>440004A-Adjustment kredit Premi asuransi freight dibayar dimuka (untuk perusahaan non asuransi)</t>
  </si>
  <si>
    <t>440005A-Adjustment kredit Premi asuransi nonjiwa selain freight dibayar dimuka (untuk perusahaan non asuransi)</t>
  </si>
  <si>
    <t>440006A-Adjustment kredit Piutang klaim asuransi jiwa (untuk perusahaan non asuransi)</t>
  </si>
  <si>
    <t>440007A-Adjustment kredit Piutang klaim asuransi freight (untuk perusahaan non asuransi)</t>
  </si>
  <si>
    <t>440008A-Adjustment kredit Piutang klaim asuransi nonjiwa selain freight (untuk perusahaan non asuransi)</t>
  </si>
  <si>
    <t>440009A-Adjustment kredit Uang muka (advance payment) untuk pembelian barang dan jasa (termasuk pembelian aktiva tetap)</t>
  </si>
  <si>
    <t>440010A-Adjustment kredit Pinjaman yg diberikan *)</t>
  </si>
  <si>
    <t>440011A-Adjustment kredit Tagihan lainnya *)</t>
  </si>
  <si>
    <t>440102A-Adjustment kredit Bunga Simpanan lainnya (tabungan, deposito, dan lainnya)</t>
  </si>
  <si>
    <t>440110A-Adjustment kredit Bunga Pinjaman yg diberikan</t>
  </si>
  <si>
    <t>440111A-Adjustment kredit Bunga Tagihan lainnya</t>
  </si>
  <si>
    <t>301100T-Adjustment Debet Penjualan barang ke luar wilayah Indonesia. - Ekspor barang, f.o.b. (free on board)</t>
  </si>
  <si>
    <t>301300T-Adjustment Kredit Pengembalian dana (refunds) dalam rangka impor</t>
  </si>
  <si>
    <t>301310T-Adjustment Kredit Pengembalian dana (refunds) dalam rangka pembelian barang di dalam wilayah Indonesia</t>
  </si>
  <si>
    <t>301400T-Adjustment Debet Advance payment - barang ekspor dan impor</t>
  </si>
  <si>
    <t>301600T-Adjustment Debet Penerimaan Manufaktur</t>
  </si>
  <si>
    <t>301700T-Adjustment Debet Penerimaan atas jasa pemeliharaan dan perbaikan</t>
  </si>
  <si>
    <t>301800T-Adjustment Debet Penjualan barang di luar negeri</t>
  </si>
  <si>
    <t>301900T-Adjustment Kredit Pengembalian dana (refunds) dalam rangka pembelian barang di luar negeri</t>
  </si>
  <si>
    <t>302101T-Adjustment Debet Penerimaan jasa transportasi penumpang (Passenger) - Transportasi laut</t>
  </si>
  <si>
    <t>302102T-Adjustment Debet Penerimaan jasa transportasi penumpang (Passenger) - Transportasi udara</t>
  </si>
  <si>
    <t>302103T-Adjustment Debet Penerimaan jasa transportasi penumpang (Passenger) - Transportasi lainnya</t>
  </si>
  <si>
    <t>302201T-Adjustment Debet Penerimaan jasa transportasi barang (Freight) dalam rangka ekspor dan impor - Transportasi laut</t>
  </si>
  <si>
    <t>302202T-Adjustment Debet Penerimaan jasa transportasi barang (Freight) dalam rangka ekspor dan impor - Transportasi udara</t>
  </si>
  <si>
    <t>302203T-Adjustment Debet Penerimaan jasa transportasi barang (Freight) dalam rangka ekspor dan impor - Transportasi lainnya</t>
  </si>
  <si>
    <t>302401T-Adjustment Debet Penerimaan jasa transportasi barang (Freight) di luar ekspor dan impor - Transportasi laut</t>
  </si>
  <si>
    <t>302402T-Adjustment Debet Penerimaan jasa transportasi barang (Freight) di luar ekspor dan impor - Transportasi udara</t>
  </si>
  <si>
    <t>302403T-Adjustment Debet Penerimaan jasa transportasi barang (Freight) di luar ekspor dan impor - Transportasi lainnya</t>
  </si>
  <si>
    <t>302501T-Adjustment Debet Penerimaan jasa penunjang transportasi - Transportasi laut</t>
  </si>
  <si>
    <t>302502T-Adjustment Debet Penerimaan jasa penunjang transportasi - Transportasi udara</t>
  </si>
  <si>
    <t>302503T-Adjustment Debet Penerimaan jasa penunjang transportasi - Transportasi lainnya</t>
  </si>
  <si>
    <t>303001T-Adjustment Debet Penerimaan Travel - Perjalanan bisnis</t>
  </si>
  <si>
    <t>303002T-Adjustment Debet Penerimaan Travel - Perjalanan non bisnis</t>
  </si>
  <si>
    <t>304000T-Adjustment Debet Penerimaan pendidikan/pelatihan</t>
  </si>
  <si>
    <t>305001T-Adjustment Debet Penerimaan pos dan kurir</t>
  </si>
  <si>
    <t>305102T-Adjustment Debet Penerimaan telekomunikasi</t>
  </si>
  <si>
    <t>306101T-Adjustment Debet Penerimaan konstruksi di luar negeri - sampai dengan 1 tahun</t>
  </si>
  <si>
    <t>306102T-Adjustment Debet Penerimaan konstruksi di luar negeri - lebih dari satu tahun</t>
  </si>
  <si>
    <t>306201T-Adjustment Debet Penerimaan konstruksi di Indonesia - sampai dengan 1 tahun</t>
  </si>
  <si>
    <t>306202T-Adjustment Debet Penerimaan konstruksi di Indonesia - lebih dari satu tahun</t>
  </si>
  <si>
    <t>307101T-Adjustment Debet Penerimaan asuransi jiwa - Penerimaan premi (premium earned)</t>
  </si>
  <si>
    <t>307102T-Adjustment Debet Penerimaan asuransi jiwa - Suplemen premi (premium supplements )</t>
  </si>
  <si>
    <t>307103T-Adjustment Debet Penerimaan asuransi jiwa - Penerimaan klaim (claims received)</t>
  </si>
  <si>
    <t>307104T-Adjustment Debet Penerimaan asuransi jiwa - dikurangi: Premi reasuransi/retrosesi</t>
  </si>
  <si>
    <t>307105T-Adjustment Debet Penerimaan asuransi jiwa - Komisi diterima (commission received)</t>
  </si>
  <si>
    <t>307201T-Adjustment Debet Penerimaan asuransi non jiwa - Penerimaan premi (premium earned)</t>
  </si>
  <si>
    <t>307202T-Adjustment Debet Penerimaan asuransi non jiwa - Suplemen premi (premium supplements )</t>
  </si>
  <si>
    <t>307203T-Adjustment Debet Penerimaan asuransi non jiwa - Penerimaan klaim (claims received)</t>
  </si>
  <si>
    <t>307204T-Adjustment Debet Penerimaan asuransi non jiwa - dikurangi: Premi reasuransi/retrosesi</t>
  </si>
  <si>
    <t>307205T-Adjustment Debet Penerimaan asuransi non jiwa - Komisi diterima (commission received)</t>
  </si>
  <si>
    <t>307301T-Adjustment Debet Penerimaan reasuransi - Penerimaan premi (premium earned)</t>
  </si>
  <si>
    <t>307302T-Adjustment Debet Penerimaan reasuransi - Suplemen premi (premium supplements )</t>
  </si>
  <si>
    <t>307303T-Adjustment Debet Penerimaan reasuransi - Penerimaan klaim (claims received)</t>
  </si>
  <si>
    <t>307304T-Adjustment Debet Penerimaan reasuransi - dikurangi: Premi reasuransi/retrosesi</t>
  </si>
  <si>
    <t>307305T-Adjustment Debet Penerimaan reasuransi - Komisi diterima (commission received)</t>
  </si>
  <si>
    <t>307400T-Adjustment Debet Penerimaan atas jasa penunjang asuransi (auxiliary insurance services)</t>
  </si>
  <si>
    <t>307500T-Adjustment Debet Advance payment - asuransi</t>
  </si>
  <si>
    <t>307600T-Adjustment Debet Advance payment - lainnya (sebutkan)</t>
  </si>
  <si>
    <t>307700T-Adjustment Debet Penerimaan/pengembalian uang pemesanan (berdasarkan IPO dan private placement)</t>
  </si>
  <si>
    <t>307800T-Adjustment Debet Reimbursement atas dana talangan</t>
  </si>
  <si>
    <t>308000T-Adjustment Debet Penerimaan jasa keuangan</t>
  </si>
  <si>
    <t>309000T-Adjustment Debet Penerimaan komputer</t>
  </si>
  <si>
    <t>309100T-Adjustment Debet Penerimaan informasi</t>
  </si>
  <si>
    <t>309900T-Adjustment Debet Penjualan barang di dalam wilayah Indonesia</t>
  </si>
  <si>
    <t>310000T-Adjustment Debet Penerimaan atas penggunaan hak kekayaan intelektual</t>
  </si>
  <si>
    <t>311100T-Adjustment Debet Penerimaan Operational leasing</t>
  </si>
  <si>
    <t>311201T-Adjustment Debet Pendapatan sewa tanah dan gedung - tanah</t>
  </si>
  <si>
    <t>311202T-Adjustment Debet Pendapatan sewa tanah dan gedung - ruang perkantoran, apartemen, rumah dan sejenisnya</t>
  </si>
  <si>
    <t>311203T-Adjustment Debet Pendapatan sewa tanah dan gedung - tanah dan ruang perkantoran, apartemen, rumah dan sejenisnya</t>
  </si>
  <si>
    <t>312000T-Adjustment Debet Penerimaan penelitian dan pengembangan</t>
  </si>
  <si>
    <t>312100T-Adjustment Debet Penerimaan di bidang hukum, akuntansi termasuk konsultasi pajak, konsultasi manajemen, dan kehumasan.</t>
  </si>
  <si>
    <t>312200T-Adjustment Debet Penerimaan periklanan, penelitian pasar, dan jajak pendapat publik</t>
  </si>
  <si>
    <t>312300T-Adjustment Debet Penerimaan arsitektur, rekayasa, dan teknik lainnya.</t>
  </si>
  <si>
    <t>312400T-Adjustment Debet Penerimaan di bidang pengolahan sampah dan polusi, pertanian, dan pertambangan</t>
  </si>
  <si>
    <t>312500T-Adjustment Debet Penerimaan terkait perdagangan</t>
  </si>
  <si>
    <t>312900T-Adjustment Debet Penyelesaian saldo rekening (netting)</t>
  </si>
  <si>
    <t>313000T-Adjustment Debet Penerimaan di bidang seni, budaya, dan rekreasi</t>
  </si>
  <si>
    <t>313900T-Adjustment Debet Kelebihan pembayaran (refund) serta kelebihan pengakuan utang/piutang</t>
  </si>
  <si>
    <t>314000T-Adjustment Debet Penerimaan atas barang/jasa yang diberikan ke pemerintah asing</t>
  </si>
  <si>
    <t>316100T-Adjustment Debet Pendapatan pajak dan sejenisnya</t>
  </si>
  <si>
    <t>316201T-Adjustment Debet Hibah atau sejenisnya (dalam bentuk cash) yang tidak dikaitkan dengan kewajiban membeli fixed asset</t>
  </si>
  <si>
    <t>316202T-Adjustment Debet Hibah atau sejenisnya (dalam bentuk cash) yang dikaitkan dengan kewajiban membeli fixed asset</t>
  </si>
  <si>
    <t>316203T-Adjustment Debet Hibah atau sejenisnya dalam bentuk barang (nonfinancial assets), seperti mesin</t>
  </si>
  <si>
    <t>316300T-Adjustment Debet Pendapatan tenaga kerja</t>
  </si>
  <si>
    <t>316400T-Adjustment Debet Pendapatan sanksi/denda, dan sejenisnya</t>
  </si>
  <si>
    <t>316500T-Adjustment Debet Pendapatan atas hak untuk penggunaan sumber daya alam</t>
  </si>
  <si>
    <t>317000T-Adjustment Debet Bunga, dividen dan sejenisnya - Dividen dan keuntungan/laba yang dibagikan, termasuk keuntungan yang berasal dari reksadana</t>
  </si>
  <si>
    <t>318101T-Adjustment Debet Bunga, dividen dan sejenisnya - Surat-surat berharga yang diterbitkan oleh bukan penduduk - Lebih dari satu tahun</t>
  </si>
  <si>
    <t>318102T-Adjustment Debet Bunga, dividen dan sejenisnya - Surat-surat berharga yang diterbitkan oleh bukan penduduk - Lebih dari satu tahun</t>
  </si>
  <si>
    <t>318200T-Adjustment Debet Bunga, dividen dan sejenisnya - Rekening giro dan simpanan, termasuk tabungan dan deposito mudharabah.</t>
  </si>
  <si>
    <t>318300T-Adjustment Debet Bunga, dividen dan sejenisnya - Pinjaman</t>
  </si>
  <si>
    <t>318401T-Adjustment Debet Bunga, dividen dan sejenisnya - Surat-surat berharga yang diterbitkan oleh penduduk - Sampai dengan satu tahun</t>
  </si>
  <si>
    <t>318402T-Adjustment Debet Bunga, dividen dan sejenisnya - Surat-surat berharga yang diterbitkan oleh penduduk - Lebih dari satu tahun</t>
  </si>
  <si>
    <t>318500T-Adjustment Debet Bunga, dividen dan sejenisnya - Gold swap</t>
  </si>
  <si>
    <t>318600T-Adjustment Debet Pendapatan atas transaksi securities lending dan gold loan/deposit</t>
  </si>
  <si>
    <t>319101T-Adjustment Debet Jual beli hak paten, hak cipta, lisensi, dan sejenisnya - Franchise dan trademarks</t>
  </si>
  <si>
    <t>319102T-Adjustment Debet Jual beli hak paten, hak cipta, lisensi, dan sejenisnya - Hasil penelitian dan pengembangan</t>
  </si>
  <si>
    <t>319201T-Adjustment Debet Jual beli tanah</t>
  </si>
  <si>
    <t>319202T-Adjustment Debet Jual beli gedung</t>
  </si>
  <si>
    <t>319900T-Adjustment Debet Penerimaan bisnis lainnya</t>
  </si>
  <si>
    <t>320101T-Adjustment Debet Penerimaan modal - di Indonesia</t>
  </si>
  <si>
    <t>320102T-Adjustment Debet Penerimaan modal - di luar Indonesia</t>
  </si>
  <si>
    <t>320201T-Adjustment Debet Divestasi penyertaan modal - di Indonesia</t>
  </si>
  <si>
    <t>320202T-Adjustment Debet Divestasi penyertaan modal - di luar Indonesia</t>
  </si>
  <si>
    <t>322100T-Adjustment Debet Penarikan pinjaman dengan jangka waktu sampai dengan satu tahun</t>
  </si>
  <si>
    <t>322200T-Adjustment Debet Penarikan pinjaman dengan jangka waktu lebih dari satu tahun</t>
  </si>
  <si>
    <t>323100T-Adjustment Debet Penerimaan pengembalian pinjaman dengan jangka waktu sampai dengan satu tahun</t>
  </si>
  <si>
    <t>323200T-Adjustment Debet Penerimaan pengembalian pinjaman dengan jangka waktu lebih dari satu tahun</t>
  </si>
  <si>
    <t>323300T-Adjustment Debet Financial leasing</t>
  </si>
  <si>
    <t>324001T-Adjustment Debet Factoring - Bank di Indonesia, dengan jangka waktu: Sampai dengan satu tahun</t>
  </si>
  <si>
    <t>324002T-Adjustment Debet Factoring - Bank di Indonesia, dengan jangka waktu: Lebih dari satu tahun</t>
  </si>
  <si>
    <t>324101T-Adjustment Debet Factoring - Perusahaan di Indonesia, dengan jangka waktu: Sampai dengan satu tahun</t>
  </si>
  <si>
    <t>324102T-Adjustment Debet Factoring - Perusahaan di Indonesia, dengan jangka waktu: Lebih dari satu tahun</t>
  </si>
  <si>
    <t>324201T-Adjustment Debet Factoring - Bank di luar negeri, dengan jangka waktu: Sampai dengan satu tahun</t>
  </si>
  <si>
    <t>324202T-Adjustment Debet Factoring - Bank di luar negeri, dengan jangka waktu: Lebih dari satu tahun</t>
  </si>
  <si>
    <t>324301T-Adjustment Debet Factoring - Perusahaan di luar negeri, dengan jangka waktu: Sampai dengan satu tahun</t>
  </si>
  <si>
    <t>324302T-Adjustment Debet Factoring - Perusahaan di luar negeri, dengan jangka waktu: Lebih dari satu tahun</t>
  </si>
  <si>
    <t>324400T-Adjustment Debet Working capital/cashcall</t>
  </si>
  <si>
    <t>324701T-Adjustment Debet Gold swap - Penerimaan dana oleh cash provider dalam transaksi gold swap dengan jangka waktu perjanjian: - sampai dengan satu tahun</t>
  </si>
  <si>
    <t>324702T-Adjustment Debet Gold swap - Penerimaan dana oleh cash provider dalam transaksi gold swap dengan jangka waktu perjanjian: - lebih dari satu tahun</t>
  </si>
  <si>
    <t>324801T-Adjustment Debet Gold swap - Penerimaan dana oleh gold owner dalam transaksi gold swap dengan jangka waktu perjanjian: - sampai dengan satu tahun</t>
  </si>
  <si>
    <t>324802T-Adjustment Debet Gold swap - Penerimaan dana oleh gold owner dalam transaksi gold swap dengan jangka waktu perjanjian: - lebih dari satu tahun</t>
  </si>
  <si>
    <t>325500T-Adjustment Debet Bertambahnya OCA atas beban OCA lainnya milik Perusahaan pelapor.</t>
  </si>
  <si>
    <t>325600T-Adjustment Debet Bertambahnya OCA atas beban giro/simpanan lainnya pada lembaga di luar negeri</t>
  </si>
  <si>
    <t>325700T-Adjustment Debet Bertambahnya OCA atas beban giro/simpanan di bank domestik</t>
  </si>
  <si>
    <t>326100T-Adjustment Debet Perdagangan valuta asing - Transaksi spot - valuta asing terhadap rupiah</t>
  </si>
  <si>
    <t>326200T-Adjustment Debet Perdagangan valuta asing - antar valuta asing</t>
  </si>
  <si>
    <t>326300T-Adjustment Debet Perdagangan valuta asing - Transaksi forward: - valuta asing terhadap rupiah</t>
  </si>
  <si>
    <t>326400T-Adjustment Debet Perdagangan valuta asing - Transaksi forward: - antar valuta asing</t>
  </si>
  <si>
    <t>326500T-Adjustment Debet Transaksi derivatif dan transaksi terkait lainnya - Keuntungan atas transaksi forward atau sejenisnya (seperti swaps dan futures)</t>
  </si>
  <si>
    <t>326600T-Adjustment Debet Transaksi derivatif dan transaksi terkait lainnya - Penerimaan premium dalam transaksi option</t>
  </si>
  <si>
    <t>326700T-Adjustment Debet Transaksi derivatif dan transaksi terkait lainnya - Penerimaan untuk forward rate agreement (FRA)</t>
  </si>
  <si>
    <t>326801T-Adjustment Debet Transaksi derivatif dan transaksi terkait lainnya - Penerimaan dalam transaksi interest swap atau currency swap</t>
  </si>
  <si>
    <t>326900T-Adjustment Debet Transaksi derivatif dan transaksi terkait lainnya - Penerimaaaan untuk initial/repayable margin</t>
  </si>
  <si>
    <t>327000T-Adjustment Debet Transaksi derivatif dan transaksi terkait lainnya - Penerimaaaan untuk variation /nonrepayable margin</t>
  </si>
  <si>
    <t>327100T-Adjustment Debet Transaksi derivatif dan transaksi terkait lainnya - Penerimaan pokok (principal) dalam transaksi currency swap di awal transaksi (first leg)</t>
  </si>
  <si>
    <t>327200T-Adjustment Debet Transaksi derivatif dan transaksi terkait lainnya - Penerimaan pokok (principal) dalam transaksi currency swap pada saat transaksi berakhir (final leg)</t>
  </si>
  <si>
    <t>327300T-Adjustment Debet Transaksi derivatif dan transaksi terkait lainnya - Penerimaaan premi dalam transaksi credit default swap</t>
  </si>
  <si>
    <t>327400T-Adjustment Debet Employee stock options</t>
  </si>
  <si>
    <t>328000T-Adjustment Debet Setoran Jaminan</t>
  </si>
  <si>
    <t>331100T-Adjustment Debet Surat berharga yang diterbitkan oleh bukan penduduk: - Saham</t>
  </si>
  <si>
    <t>332100T-Adjustment Debet Surat berharga yang diterbitkan oleh bukan penduduk berjangka waktu lebih dari satu tahun - Obligasi</t>
  </si>
  <si>
    <t>332200T-Adjustment Debet Surat berharga yang diterbitkan oleh bukan penduduk berjangka waktu lebih dari satu tahun - Medium Term Notes (MTNs)</t>
  </si>
  <si>
    <t>332300T-Adjustment Debet Surat berharga yang diterbitkan oleh bukan penduduk berjangka waktu lebih dari satu tahun - Surat berharga jangka panjang lainnya</t>
  </si>
  <si>
    <t>333100T-Adjustment Debet Surat berharga yang diterbitkan oleh bukan penduduk berjangka waktu sampai dengan satu tahun - Treasury Bills</t>
  </si>
  <si>
    <t>333200T-Adjustment Debet Surat berharga yang diterbitkan oleh bukan penduduk berjangka waktu sampai dengan satu tahun - Promissory Notes (PNs/Promes)</t>
  </si>
  <si>
    <t>333300T-Adjustment Debet Surat berharga yang diterbitkan oleh bukan penduduk berjangka waktu sampai dengan satu tahun - Surat berharga jangka pendek lainnya</t>
  </si>
  <si>
    <t>334100T-Adjustment Debet Surat berharga yang diterbitkan oleh penduduk: Saham</t>
  </si>
  <si>
    <t>334200T-Adjustment Debet Surat berharga yang diterbitkan oleh penduduk: Efek ekuitas lainnya, seperti warrant dan right</t>
  </si>
  <si>
    <t>335100T-Adjustment Debet Surat berharga yang diterbitkan oleh penduduk lebih dari satu tahun: Obligasi pemerintah Republik Indonesia seperti obligasi dalam rangka rekapitalisasi perbankan nasional dan Obligasi Ritel Indonesia (ORI)</t>
  </si>
  <si>
    <t>335200T-Adjustment Debet Surat berharga yang diterbitkan oleh penduduk lebih dari satu tahun: Obligasi Perusahaan</t>
  </si>
  <si>
    <t>335300T-Adjustment Debet Surat berharga yang diterbitkan oleh penduduk lebih dari satu tahun: Medium Term Notes (MTNs)</t>
  </si>
  <si>
    <t>335400T-Adjustment Debet Surat berharga yang diterbitkan oleh penduduk lebih dari satu tahun: Surat berharga jangka panjang lainnya.</t>
  </si>
  <si>
    <t>336100T-Adjustment Debet Surat berharga yang diterbitkan oleh penduduk sampai dengan satu tahun: Sertifikat Bank Indonesia (SBI) dan Sertifikat Wadiah Bank Indonesia (SWBI)</t>
  </si>
  <si>
    <t>336200T-Adjustment Debet Surat berharga yang diterbitkan oleh penduduk sampai dengan satu tahun: Surat Perbendaharaan Negara (SPN)</t>
  </si>
  <si>
    <t>336300T-Adjustment Debet Surat berharga yang diterbitkan oleh penduduk sampai dengan satu tahun: Promissory Notes (PNs/Promes)</t>
  </si>
  <si>
    <t>336400T-Adjustment Debet Surat berharga yang diterbitkan oleh penduduk sampai dengan satu tahun: Negotiable Certificate of Deposit (NCD)</t>
  </si>
  <si>
    <t>336500T-Adjustment Debet Surat berharga yang diterbitkan oleh penduduk sampai dengan satu tahun: Surat berharga jangka pendek lainnya.</t>
  </si>
  <si>
    <t>337200T-Adjustment Debet Reksadana yang diperdagangkan (Exchange Traded Fund)</t>
  </si>
  <si>
    <t>337300T-Adjustment Debet Penyertaan dalam Reksadana</t>
  </si>
  <si>
    <t>338101T-Adjustment Debet Repurchase Agreement (Repo) - Penjualan surat berharga secara repo oleh pemilik surat berharga dengan jangka waktu: - sampai dengan satu tahun</t>
  </si>
  <si>
    <t>338102T-Adjustment Debet Repurchase Agreement (Repo) - Penjualan surat berharga secara repo oleh pemilik surat berharga dengan jangka waktu: - lebih dari satu tahun</t>
  </si>
  <si>
    <t>338201T-Adjustment Debet Repurchase Agreement (Repo) - Penjualan kembali surat berharga repo oleh pembeli surat berharga dengan jangka waktu: - sampai dengan satu tahun</t>
  </si>
  <si>
    <t>338202T-Adjustment Debet Repurchase Agreement (Repo) - Penjualan kembali surat berharga repo oleh pembeli surat berharga dengan jangka waktu: - lebih dari satu tahun</t>
  </si>
  <si>
    <t>370100T-Adjustment Debet Penerimaan dari Bank Dalam Negeri</t>
  </si>
  <si>
    <t>390200T-Adjustment Debet Lainnya (jelaskan rinciannya)</t>
  </si>
  <si>
    <t>401200T-Adjustment Kredit Pembelian barang dari luar wilayah Indonesia. - Impor barang, f.o.b. (free on board)</t>
  </si>
  <si>
    <t>401300T-Adjustment Debet Pengembalian dana (refunds) dalam rangka ekspor</t>
  </si>
  <si>
    <t>401310T-Adjustment Debet Pengembalian dana (refunds) dalam rangka penjualan barang di dalam wilayah Indonesia</t>
  </si>
  <si>
    <t>401400T-Adjustment Kredit Advance payment - barang ekspor dan impor</t>
  </si>
  <si>
    <t>401600T-Adjustment Kredit Pembayaran Manufaktur</t>
  </si>
  <si>
    <t>401700T-Adjustment Kredit Pembayaran atas jasa pemeliharaan dan perbaikan</t>
  </si>
  <si>
    <t>401800T-Adjustment Kredit Pembelian barang di luar negeri</t>
  </si>
  <si>
    <t>401900T-Adjustment Debet Pengembalian dana (refunds) dalam rangka penjualan barang di luar negeri</t>
  </si>
  <si>
    <t>402101T-Adjustment Kredit Pembayaran jasa transportasi penumpang (Passenger) - Transportasi laut</t>
  </si>
  <si>
    <t>402102T-Adjustment Kredit Pembayaran jasa transportasi penumpang (Passenger) - Transportasi udara</t>
  </si>
  <si>
    <t>402103T-Adjustment Kredit Pembayaran jasa transportasi penumpang (Passenger) - Transportasi lainnya</t>
  </si>
  <si>
    <t>402201T-Adjustment Kredit Pembayaran jasa transportasi barang (Freight) dalam rangka ekspor dan impor - Transportasi laut</t>
  </si>
  <si>
    <t>402202T-Adjustment Kredit Pembayaran jasa transportasi barang (Freight) dalam rangka ekspor dan impor - Transportasi udara</t>
  </si>
  <si>
    <t>402203T-Adjustment Kredit Pembayaran jasa transportasi barang (Freight) dalam rangka ekspor dan impor - Transportasi lainnya</t>
  </si>
  <si>
    <t>402401T-Adjustment Kredit Pembayaran jasa transportasi barang (Freight) di luar ekspor dan impor - Transportasi laut</t>
  </si>
  <si>
    <t>402402T-Adjustment Kredit Pembayaran jasa transportasi barang (Freight) di luar ekspor dan impor - Transportasi udara</t>
  </si>
  <si>
    <t>402403T-Adjustment Kredit Pembayaran jasa transportasi barang (Freight) di luar ekspor dan impor - Transportasi lainnya</t>
  </si>
  <si>
    <t>402501T-Adjustment Kredit Pembayaran jasa penunjang transportasi - Transportasi laut</t>
  </si>
  <si>
    <t>402502T-Adjustment Kredit Pembayaran jasa penunjang transportasi - Transportasi udara</t>
  </si>
  <si>
    <t>402503T-Adjustment Kredit Pembayaran jasa penunjang transportasi - Transportasi lainnya</t>
  </si>
  <si>
    <t>403001T-Adjustment Kredit Pembayaran Travel - Perjalanan bisnis</t>
  </si>
  <si>
    <t>403002T-Adjustment Kredit Pembayaran Travel - Perjalanan non bisnis</t>
  </si>
  <si>
    <t>404000T-Adjustment Kredit Pembayaran pendidikan/pelatihan</t>
  </si>
  <si>
    <t>405000T-Adjustment Kredit Pembayaran pos dan kurir</t>
  </si>
  <si>
    <t>405100T-Adjustment Kredit Pembayaran telekomunikasi</t>
  </si>
  <si>
    <t>406101T-Adjustment Kredit Pembayaran konstruksi di luar negeri - sampai dengan 1 tahun</t>
  </si>
  <si>
    <t>406102T-Adjustment Kredit Pembayaran konstruksi di luar negeri - lebih dari satu tahun</t>
  </si>
  <si>
    <t>406201T-Adjustment Kredit Pembayaran konstruksi di Indonesia - sampai dengan 1 tahun</t>
  </si>
  <si>
    <t>406202T-Adjustment Kredit Pembayaran konstruksi di Indonesia - lebih dari satu tahun</t>
  </si>
  <si>
    <t>407101T-Adjustment Kredit Pembayaran asuransi jiwa - Pembayaran premi (premium earned)</t>
  </si>
  <si>
    <t>407102T-Adjustment Kredit Pembayaran asuransi jiwa - Suplemen premi (premium supplements )</t>
  </si>
  <si>
    <t>407103T-Adjustment Kredit Pembayaran asuransi jiwa - Pembayaran klaim (claims received)</t>
  </si>
  <si>
    <t>407104T-Adjustment Kredit Pembayaran asuransi jiwa - dikurangi: Premi reasuransi/retrosesi</t>
  </si>
  <si>
    <t>407105T-Adjustment Kredit Pembayaran asuransi jiwa - Komisi diterima (commission received)</t>
  </si>
  <si>
    <t>407201T-Adjustment Kredit Pembayaran asuransi non jiwa - Pembayaran premi (premium earned)</t>
  </si>
  <si>
    <t>407202T-Adjustment Kredit Pembayaran asuransi non jiwa - Suplemen premi (premium supplements )</t>
  </si>
  <si>
    <t>407203T-Adjustment Kredit Pembayaran asuransi non jiwa - Pembayaran klaim (claims received)</t>
  </si>
  <si>
    <t>407204T-Adjustment Kredit Pembayaran asuransi non jiwa - dikurangi: Premi reasuransi/retrosesi</t>
  </si>
  <si>
    <t>407205T-Adjustment Kredit Pembayaran asuransi non jiwa - Komisi diterima (commission received)</t>
  </si>
  <si>
    <t>407301T-Adjustment Kredit Pembayaran asuransi non jiwa - Pembayaran premi (premium earned)</t>
  </si>
  <si>
    <t>407302T-Adjustment Kredit Pembayaran reasuransi - Suplemen premi (premium supplements )</t>
  </si>
  <si>
    <t>407303T-Adjustment Kredit Pembayaran reasuransi - Pembayaran klaim (claims received)</t>
  </si>
  <si>
    <t>407304T-Adjustment Kredit Pembayaran reasuransi - dikurangi: Premi reasuransi/retrosesi</t>
  </si>
  <si>
    <t>407305T-Adjustment Kredit Pembayaran reasuransi - Komisi diterima (commission received)</t>
  </si>
  <si>
    <t>407400T-Adjustment Kredit Pembayaran atas jasa penunjang asuransi (auxiliary insurance services)</t>
  </si>
  <si>
    <t>407500T-Adjustment Kredit Advance payment - asuransi</t>
  </si>
  <si>
    <t>407600T-Adjustment Kredit Advance payment - lainnya (sebutkan)</t>
  </si>
  <si>
    <t>407700T-Adjustment Kredit Penerimaan/pengembalian uang pemesanan (berdasarkan IPO dan private placement)</t>
  </si>
  <si>
    <t>408000T-Adjustment Kredit Pembayaran jasa keuangan</t>
  </si>
  <si>
    <t>409000T-Adjustment Kredit Pembayaran komputer</t>
  </si>
  <si>
    <t>409100T-Adjustment Kredit Pembayaran informasi</t>
  </si>
  <si>
    <t>409900T-Adjustment Kredit Pembelian barang di dalam wilayah Indonesia</t>
  </si>
  <si>
    <t>410000T-Adjustment Kredit Pembayaran atas penggunaan hak kekayaan intelektual</t>
  </si>
  <si>
    <t>411100T-Adjustment Kredit Pembayaran Operational leasing</t>
  </si>
  <si>
    <t>411201T-Adjustment Kredit Beban sewa tanah dan gedung - tanah</t>
  </si>
  <si>
    <t>411202T-Adjustment Kredit Beban sewa tanah dan gedung - ruang perkantoran, apartemen, rumah dan sejenisnya</t>
  </si>
  <si>
    <t>411203T-Adjustment Kredit Beban sewa tanah dan gedung - tanah dan ruang perkantoran, apartemen, rumah dan sejenisnya</t>
  </si>
  <si>
    <t>412000T-Adjustment Kredit Pembayaran penelitian dan pengembangan</t>
  </si>
  <si>
    <t>412100T-Adjustment Kredit Pembayaran di bidang hukum, akuntansi termasuk konsultasi pajak, konsultasi manajemen, dan kehumasan.</t>
  </si>
  <si>
    <t>412200T-Adjustment Kredit Pembayaran periklanan, penelitian pasar, dan jajak pendapat publik</t>
  </si>
  <si>
    <t>412300T-Adjustment Kredit Pembayaran arsitektur, rekayasa, dan teknik lainnya.</t>
  </si>
  <si>
    <t>412400T-Adjustment Kredit Pembayaran di bidang pengolahan sampah dan polusi, pertanian, dan pertambangan</t>
  </si>
  <si>
    <t>412500T-Adjustment Kredit Pembayaran terkait perdagangan</t>
  </si>
  <si>
    <t>412900T-Adjustment Kredit Penyelesaian saldo rekening (netting)</t>
  </si>
  <si>
    <t>413000T-Adjustment Kredit Pembayaran di bidang seni, budaya, dan rekreasi</t>
  </si>
  <si>
    <t>413900T-Adjustment Kredit Kelebihan pembayaran (refund) serta kelebihan pengakuan utang/piutang</t>
  </si>
  <si>
    <t>414000T-Adjustment Kredit Pembayaran atas barang/jasa yang diberikan ke pemerintah asing</t>
  </si>
  <si>
    <t>416100T-Adjustment Kredit Beban pajak dan sejenisnya</t>
  </si>
  <si>
    <t>416201T-Adjustment Kredit Hibah atau sejenisnya (dalam bentuk cash) yang tidak dikaitkan dengan kewajiban membeli fixed asset</t>
  </si>
  <si>
    <t>416202T-Adjustment Kredit Hibah atau sejenisnya (dalam bentuk cash) yang dikaitkan dengan kewajiban membeli fixed asset</t>
  </si>
  <si>
    <t>416203T-Adjustment Kredit Hibah atau sejenisnya dalam bentuk barang (nonfinancial assets), seperti mesin</t>
  </si>
  <si>
    <t>416300T-Adjustment Kredit Beban tenaga kerja</t>
  </si>
  <si>
    <t>416400T-Adjustment Kredit Beban sanksi/denda, dan sejenisnya</t>
  </si>
  <si>
    <t>416500T-Adjustment Kredit Beban atas hak untuk penggunaan sumber daya alam</t>
  </si>
  <si>
    <t>417000T-Adjustment Kredit Bunga, dividen dan sejenisnya - Dividen dan keuntungan/laba yang dibagikan, termasuk keuntungan yang berasal dari reksadana</t>
  </si>
  <si>
    <t>418101T-Adjustment Kredit Bunga, dividen dan sejenisnya - Surat-surat berharga yang diterbitkan oleh bukan penduduk - Sampai dengan satu tahun</t>
  </si>
  <si>
    <t>418102T-Adjustment Kredit Bunga, dividen dan sejenisnya - Surat-surat berharga yang diterbitkan oleh bukan penduduk - Lebih dari satu tahun</t>
  </si>
  <si>
    <t>418200T-Adjustment Kredit Bunga, dividen dan sejenisnya - Rekening giro dan simpanan, termasuk tabungan dan deposito mudharabah.</t>
  </si>
  <si>
    <t>418300T-Adjustment Kredit Bunga, dividen dan sejenisnya - Pinjaman</t>
  </si>
  <si>
    <t>418401T-Adjustment Kredit Bunga, dividen dan sejenisnya - Surat-surat berharga yang diterbitkan oleh penduduk - Sampai dengan satu tahun</t>
  </si>
  <si>
    <t>418402T-Adjustment Kredit Bunga, dividen dan sejenisnya - Surat-surat berharga yang diterbitkan oleh penduduk - Lebih dari satu tahun</t>
  </si>
  <si>
    <t>418500T-Adjustment Kredit Bunga, dividen dan sejenisnya - Gold swap</t>
  </si>
  <si>
    <t>418600T-Adjustment Kredit Beban atas transaksi securities lending dan gold loan/deposit</t>
  </si>
  <si>
    <t>419101T-Adjustment Kredit Jual beli hak paten, hak cipta, lisensi, dan sejenisnya - Franchise dan trademarks</t>
  </si>
  <si>
    <t>419102T-Adjustment Kredit Jual beli hak paten, hak cipta, lisensi, dan sejenisnya - Hasil penelitian dan pengembangan</t>
  </si>
  <si>
    <t>419201T-Adjustment Kredit Jual beli tanah</t>
  </si>
  <si>
    <t>419202T-Adjustment Kredit Jual beli gedung</t>
  </si>
  <si>
    <t>419900T-Adjustment Kredit Pembayaran bisnis lainnya</t>
  </si>
  <si>
    <t>420101T-Adjustment Kredit Penyertaan modal - di Indonesia</t>
  </si>
  <si>
    <t>420102T-Adjustment Kredit Penyertaan modal - di luar Indonesia</t>
  </si>
  <si>
    <t>420201T-Adjustment Kredit Divestasi penyertaan modal - di Indonesia</t>
  </si>
  <si>
    <t>420202T-Adjustment Kredit Divestasi penyertaan modal - di luar Indonesia</t>
  </si>
  <si>
    <t>422100T-Adjustment Kredit Pengembalian pinjaman dengan jangka waktu sampai dengan satu tahun</t>
  </si>
  <si>
    <t>422200T-Adjustment Kredit Pengembalian pinjaman dengan jangka waktu lebih dari satu tahun</t>
  </si>
  <si>
    <t>423100T-Adjustment Kredit Pembayaran pinjaman dengan jangka waktu sampai dengan satu tahun</t>
  </si>
  <si>
    <t>423200T-Adjustment Kredit Pembayaran pinjaman dengan jangka waktu lebih dari satu tahun</t>
  </si>
  <si>
    <t>423300T-Adjustment Kredit Financial leasing</t>
  </si>
  <si>
    <t>424001T-Adjustment Kredit Factoring - Bank di Indonesia, dengan jangka waktu: Sampai dengan satu tahun</t>
  </si>
  <si>
    <t>424002T-Adjustment Kredit Factoring - Bank di Indonesia, dengan jangka waktu: Lebih dari satu tahun</t>
  </si>
  <si>
    <t>424101T-Adjustment Kredit Factoring - Perusahaan di Indonesia, dengan jangka waktu: Sampai dengan satu tahun</t>
  </si>
  <si>
    <t>424102T-Adjustment Kredit Factoring - Perusahaan di Indonesia, dengan jangka waktu: Lebih dari satu tahun</t>
  </si>
  <si>
    <t>424201T-Adjustment Kredit Factoring - Bank di luar negeri, dengan jangka waktu: Sampai dengan satu tahun</t>
  </si>
  <si>
    <t>424202T-Adjustment Kredit Factoring - Bank di luar negeri, dengan jangka waktu: Lebih dari satu tahun</t>
  </si>
  <si>
    <t>424301T-Adjustment Kredit Factoring - Perusahaan di luar negeri, dengan jangka waktu: Sampai dengan satu tahun</t>
  </si>
  <si>
    <t>424302T-Adjustment Kredit Factoring - Perusahaan di luar negeri, dengan jangka waktu: Lebih dari satu tahun</t>
  </si>
  <si>
    <t>424400T-Adjustment Kredit Working capital/cashcall</t>
  </si>
  <si>
    <t>424501T-Adjustment Kredit Gold swap - Penyerahan dana oleh cash provider dalam transaksi gold swap dengan jangka waktu perjanjian: - sampai dengan satu tahun</t>
  </si>
  <si>
    <t>424502T-Adjustment Kredit Gold swap - Penyerahan dana oleh cash provider dalam transaksi gold swap dengan jangka waktu perjanjian: - lebih dari satu tahun</t>
  </si>
  <si>
    <t>424601T-Adjustment Kredit Gold swap - Pengembalian dana oleh gold owner dalam transaksi gold swap dengan jangka waktu perjanjian: - sampai dengan satu tahun</t>
  </si>
  <si>
    <t>424602T-Adjustment Kredit Gold swap - Pengembalian dana oleh gold owner dalam transaksi gold swap dengan jangka waktu perjanjian: - lebih dari satu tahun</t>
  </si>
  <si>
    <t>425500T-Adjustment Kredit Berkurangnya OCA atas untung OCA lainnya milik Perusahaan pelapor.</t>
  </si>
  <si>
    <t>425600T-Adjustment Kredit Berkurangnya OCA atas untung giro/simpanan lainnya pada lembaga di luar negeri</t>
  </si>
  <si>
    <t>425700T-Adjustment Kredit Berkurangnya OCA atas untung giro/simpanan di bank domestik</t>
  </si>
  <si>
    <t>426100T-Adjustment Kredit Perdagangan valuta asing - Transaksi spot - valuta asing terhadap rupiah</t>
  </si>
  <si>
    <t>426200T-Adjustment Kredit Perdagangan valuta asing - antar valuta asing</t>
  </si>
  <si>
    <t>426300T-Adjustment Kredit Perdagangan valuta asing - Transaksi forward: - valuta asing terhadap rupiah</t>
  </si>
  <si>
    <t>426400T-Adjustment Kredit Perdagangan valuta asing - Transaksi forward: - antar valuta asing</t>
  </si>
  <si>
    <t>426500T-Adjustment Kredit Transaksi derivatif dan transaksi terkait lainnya - Kerugian atas transaksi forward atau sejenisnya (seperti swaps dan futures)</t>
  </si>
  <si>
    <t>426600T-Adjustment Kredit Transaksi derivatif dan transaksi terkait lainnya - Pembayaran premium dalam transaksi option</t>
  </si>
  <si>
    <t>426700T-Adjustment Kredit Transaksi derivatif dan transaksi terkait lainnya - Pembayaran untuk forward rate agreement (FRA)</t>
  </si>
  <si>
    <t>426801T-Adjustment Kredit Transaksi derivatif dan transaksi terkait lainnya - Pembayaran dalam transaksi interest swap atau currency swap</t>
  </si>
  <si>
    <t>426900T-Adjustment Kredit Transaksi derivatif dan transaksi terkait lainnya - Pembayaran untuk initial/repayable margin</t>
  </si>
  <si>
    <t>427000T-Adjustment Kredit Transaksi derivatif dan transaksi terkait lainnya - Pembayaran untuk variation /nonrepayable margin</t>
  </si>
  <si>
    <t>427100T-Adjustment Kredit Transaksi derivatif dan transaksi terkait lainnya - Pembayaran pokok (principal) dalam transaksi currency swap di awal transaksi (first leg)</t>
  </si>
  <si>
    <t>427200T-Adjustment Kredit Transaksi derivatif dan transaksi terkait lainnya - Pembayaran pokok (principal) dalam transaksi currency swap pada saat transaksi berakhir (final leg)</t>
  </si>
  <si>
    <t>427300T-Adjustment Kredit Transaksi derivatif dan transaksi terkait lainnya - Pembayaran premi dalam transaksi credit default swap</t>
  </si>
  <si>
    <t>427400T-Adjustment Kredit Employee stock options</t>
  </si>
  <si>
    <t>428000T-Adjustment Kredit Setoran Jaminan</t>
  </si>
  <si>
    <t>431100T-Adjustment Kredit Surat berharga yang diterbitkan oleh bukan penduduk: - Saham</t>
  </si>
  <si>
    <t>432100T-Adjustment Kredit Surat berharga yang diterbitkan oleh bukan penduduk berjangka waktu lebih dari satu tahun - Obligasi</t>
  </si>
  <si>
    <t>432200T-Adjustment Kredit Surat berharga yang diterbitkan oleh bukan penduduk berjangka waktu lebih dari satu tahun - Medium Term Notes (MTNs)</t>
  </si>
  <si>
    <t>432300T-Adjustment Kredit Surat berharga yang diterbitkan oleh bukan penduduk berjangka waktu lebih dari satu tahun - Surat berharga jangka panjang lainnya</t>
  </si>
  <si>
    <t>433100T-Adjustment Kredit Surat berharga yang diterbitkan oleh bukan penduduk berjangka waktu sampai dengan satu tahun - Treasury Bills</t>
  </si>
  <si>
    <t>433200T-Adjustment Kredit Surat berharga yang diterbitkan oleh bukan penduduk berjangka waktu sampai dengan satu tahun - Promissory Notes (PNs/Promes)</t>
  </si>
  <si>
    <t>433300T-Adjustment Kredit Surat berharga yang diterbitkan oleh bukan penduduk berjangka waktu sampai dengan satu tahun - Surat berharga jangka pendek lainnya</t>
  </si>
  <si>
    <t>434100T-Adjustment Kredit Surat berharga yang diterbitkan oleh penduduk: Saham</t>
  </si>
  <si>
    <t>434200T-Adjustment Kredit Surat berharga yang diterbitkan oleh penduduk: Efek ekuitas lainnya, seperti warrant dan right</t>
  </si>
  <si>
    <t>435100T-Adjustment Kredit Surat berharga yang diterbitkan oleh penduduk lebih dari satu tahun: Obligasi pemerintah Republik Indonesia seperti obligasi dalam rangka rekapitalisasi perbankan nasional dan Obligasi Ritel Indonesia (ORI)</t>
  </si>
  <si>
    <t>435200T-Adjustment Kredit Surat berharga yang diterbitkan oleh penduduk lebih dari satu tahun: Obligasi Perusahaan</t>
  </si>
  <si>
    <t>435300T-Adjustment Kredit Surat berharga yang diterbitkan oleh penduduk lebih dari satu tahun: Medium Term Notes (MTNs)</t>
  </si>
  <si>
    <t>435400T-Adjustment Kredit Surat berharga yang diterbitkan oleh penduduk lebih dari satu tahun: Surat berharga jangka panjang lainnya.</t>
  </si>
  <si>
    <t>436100T-Adjustment Kredit Surat berharga yang diterbitkan oleh penduduk sampai dengan satu tahun: Sertifikat Bank Indonesia (SBI) dan Sertifikat Wadiah Bank Indonesia (SWBI)</t>
  </si>
  <si>
    <t>436200T-Adjustment Kredit Surat berharga yang diterbitkan oleh penduduk sampai dengan satu tahun: Surat Perbendaharaan Negara (SPN)</t>
  </si>
  <si>
    <t>436300T-Adjustment Kredit Surat berharga yang diterbitkan oleh penduduk sampai dengan satu tahun: Promissory Notes (PNs/Promes)</t>
  </si>
  <si>
    <t>436400T-Adjustment Kredit Surat berharga yang diterbitkan oleh penduduk sampai dengan satu tahun: Negotiable Certificate of Deposit (NCD)</t>
  </si>
  <si>
    <t>436500T-Adjustment Kredit Surat berharga yang diterbitkan oleh penduduk sampai dengan satu tahun: Surat berharga jangka pendek lainnya.</t>
  </si>
  <si>
    <t>437200T-Adjustment Kredit Reksadana yang diperdagangkan (Exchange Traded Fund)</t>
  </si>
  <si>
    <t>437300T-Adjustment Kredit Penyertaan dalam Reksadana</t>
  </si>
  <si>
    <t>438301T-Adjustment Kredit Repurchase Agreement (Repo) - Pembelian kembali oleh pemilik surat berharga yang telah dijual secara repo dengan jangka waktu: - sampai dengan satu tahun</t>
  </si>
  <si>
    <t>438302T-Adjustment Kredit Repurchase Agreement (Repo) - Pembelian kembali oleh pemilik surat berharga yang telah dijual secara repo dengan jangka waktu: - lebih dari satu tahun</t>
  </si>
  <si>
    <t>438401T-Adjustment Kredit Repurchase Agreement (Repo) - Pembelian surat berharga yang dijual secara repo dengan jangka waktu: - sampai dengan satu tahun</t>
  </si>
  <si>
    <t>438402T-Adjustment Kredit Repurchase Agreement (Repo) - Pembelian surat berharga yang dijual secara repo dengan jangka waktu: - lebih dari satu tahun</t>
  </si>
  <si>
    <t>317031A-Adjustment debet piutang deviden saham listed</t>
  </si>
  <si>
    <t>317032A-Adjustment debet piutang deviden saham unlisted</t>
  </si>
  <si>
    <t>317033A-Adjustment debet piutang deviden lainnya</t>
  </si>
  <si>
    <t>317131A-Adjustment debet laba ditahan saham listed</t>
  </si>
  <si>
    <t>317132A-Adjustment debet laba ditahan saham unlisted</t>
  </si>
  <si>
    <t>317133A-Adjustment debet laba ditahan lainnya</t>
  </si>
  <si>
    <t>320331A-Adjustment debet saham listed</t>
  </si>
  <si>
    <t>320332A-Adjustment debet saham unlisted</t>
  </si>
  <si>
    <t>320333A-Adjustment debet lainnya (penyertaan dalam bentuk bukan saham)</t>
  </si>
  <si>
    <t>417031A-Adjustment kredit piutang deviden saham listed</t>
  </si>
  <si>
    <t>417032A-Adjustment kredit piutang deviden saham unlisted</t>
  </si>
  <si>
    <t>417033A-Adjustment kredit piutang deviden lainnya</t>
  </si>
  <si>
    <t>417131A-Adjustment kredit laba ditahan saham listed</t>
  </si>
  <si>
    <t>417132A-Adjustment kredit laba ditahan saham unlisted</t>
  </si>
  <si>
    <t>417133A-Adjustment kredit laba ditahan lainnya</t>
  </si>
  <si>
    <t>420331A-Adjustment kredit saham listed</t>
  </si>
  <si>
    <t>420332A-Adjustment kredit saham unlisted</t>
  </si>
  <si>
    <t>420333A-Adjustment kredit lainnya (penyertaan dalam bentuk bukan saham)</t>
  </si>
  <si>
    <t>320101K-Adjustment debet modal disetor</t>
  </si>
  <si>
    <t>320201K-Adjustment debet utang deviden</t>
  </si>
  <si>
    <t>320301K-Adjustment debet laba di tahan</t>
  </si>
  <si>
    <t>420101K-Adjustment kredit modal disetor</t>
  </si>
  <si>
    <t>420201K-Adjustment kredit utang deviden</t>
  </si>
  <si>
    <t>420301K-Adjustment kredit laba di tahan</t>
  </si>
  <si>
    <t>324031A-Adjustment Debet Piutang Nasabah</t>
  </si>
  <si>
    <t>324032A-Adjustment Debet Efek Dibeli Dengan Janji Dijual Kembali (Reverse Repo)</t>
  </si>
  <si>
    <t>324033A-Adjustment Debet Piutang Margin</t>
  </si>
  <si>
    <t>324034A-Adjustment Debet Piutang perusahaan efek</t>
  </si>
  <si>
    <t>324035A-Adjustment Debet Rekening nasabah</t>
  </si>
  <si>
    <t>424031A-Adjustment Kredit Piutang Nasabah</t>
  </si>
  <si>
    <t>424032A-Adjustment Kredit Efek Dibeli Dengan Janji Dijual Kembali (Reverse Repo)</t>
  </si>
  <si>
    <t>424033A-Adjustment Kredit Piutang Margin</t>
  </si>
  <si>
    <t>424034A-Adjustment Kredit Piutang perusahaan efek</t>
  </si>
  <si>
    <t>424035A-Adjustment Kredit Rekening nasabah</t>
  </si>
  <si>
    <t>324021A-Adjustment Debet Premi Dibayar Dimuka (Prepaid Premiums)</t>
  </si>
  <si>
    <t>324022A-Adjustment Debet Piutang Premi</t>
  </si>
  <si>
    <t>324023A-Adjustment Debet Piutang Reasuransi</t>
  </si>
  <si>
    <t>324024A-Adjustment Debet Piutang Retrosesi</t>
  </si>
  <si>
    <t>324025A-Adjustment Debet Piutang Klaim (Claims Receivable)</t>
  </si>
  <si>
    <t>424021A-Adjustment Kredit Premi Dibayar Dimuka (Prepaid Premiums)</t>
  </si>
  <si>
    <t>424022A-Adjustment Kredit Piutang Premi</t>
  </si>
  <si>
    <t>424023A-Adjustment Kredit Piutang Reasuransi</t>
  </si>
  <si>
    <t>424024A-Adjustment Kredit Piutang Retrosesi</t>
  </si>
  <si>
    <t>424025A-Adjustment Kredit Piutang Klaim (Claims Receivable)</t>
  </si>
  <si>
    <t>320611A-Adjustment Debet Saham Listed</t>
  </si>
  <si>
    <t>320612A-Adjustment Debet Saham Unlisted</t>
  </si>
  <si>
    <t>320613A-Adjustment Debet Saham Lainnya (termasuk saham repo)</t>
  </si>
  <si>
    <t>320811A-Adjustment Debet Money market fund shares/units</t>
  </si>
  <si>
    <t>320812A-Adjustment Debet Other investment fund shares/units</t>
  </si>
  <si>
    <t>320711A-Adjustment Debet Promissory Notes</t>
  </si>
  <si>
    <t>320712A-Adjustment Debet Commercial Papers</t>
  </si>
  <si>
    <t>320713A-Adjustment Debet T-Bills / T-Notes</t>
  </si>
  <si>
    <t>320714A-Adjustment Debet Banker's Acceptance</t>
  </si>
  <si>
    <t>320715A-Adjustment Debet Obligasi / Bonds</t>
  </si>
  <si>
    <t>320716A-Adjustment Debet Floating Rate Notes / FRN</t>
  </si>
  <si>
    <t>320717A-Adjustment Debet Medium Term Notes / MTN</t>
  </si>
  <si>
    <t>320718A-Adjustment Debet Surat Utang Repo</t>
  </si>
  <si>
    <t>320719A-Adjustment Debet Surat Utang Lainnya</t>
  </si>
  <si>
    <t>320720A-Adjustment Debet Certificate of Deposit</t>
  </si>
  <si>
    <t>320721A-Adjustment Debet Negotiable Certificate Deposit</t>
  </si>
  <si>
    <t>320722A-Adjustment Debet Floating Rate Certificate of Deposit</t>
  </si>
  <si>
    <t>320723A-Adjustment Debet Asset Backed Securities</t>
  </si>
  <si>
    <t>320599A-Adjustment Debet Surat Berharga Lainnya</t>
  </si>
  <si>
    <t>420611A-Adjustment Kredit Saham Listed</t>
  </si>
  <si>
    <t>420612A-Adjustment Kredit Saham Unlisted</t>
  </si>
  <si>
    <t>420613A-Adjustment Kredit Saham Lainnya (termasuk saham repo)</t>
  </si>
  <si>
    <t>420811A-Adjustment Kredit Money market fund shares/units</t>
  </si>
  <si>
    <t>420812A-Adjustment Kredit Other investment fund shares/units</t>
  </si>
  <si>
    <t>420711A-Adjustment Kredit Promissory Notes</t>
  </si>
  <si>
    <t>420712A-Adjustment Kredit Commercial Papers</t>
  </si>
  <si>
    <t>420713A-Adjustment Kredit T-Bills / T-Notes</t>
  </si>
  <si>
    <t>420714A-Adjustment Kredit Banker's Acceptance</t>
  </si>
  <si>
    <t>420715A-Adjustment Kredit Obligasi / Bonds</t>
  </si>
  <si>
    <t>420716A-Adjustment Kredit Floating Rate Notes / FRN</t>
  </si>
  <si>
    <t>420717A-Adjustment Kredit Medium Term Notes / MTN</t>
  </si>
  <si>
    <t>420718A-Adjustment Kredit Surat Utang Repo</t>
  </si>
  <si>
    <t>420719A-Adjustment Kredit Surat Utang Lainnya</t>
  </si>
  <si>
    <t>420720A-Adjustment Kredit Certificate of Deposit</t>
  </si>
  <si>
    <t>420721A-Adjustment Kredit Negotiable Certificate Deposit</t>
  </si>
  <si>
    <t>420722A-Adjustment Kredit Floating Rate Certificate of Deposit</t>
  </si>
  <si>
    <t>420723A-Adjustment Kredit Asset Backed Securities</t>
  </si>
  <si>
    <t>420599A-Adjustment Kredit Surat Berharga Lainnya</t>
  </si>
  <si>
    <t>319201A-Adjustment debet Tanah</t>
  </si>
  <si>
    <t>319202A-Adjustment debet Bangunan/Gedung</t>
  </si>
  <si>
    <t>419201A-Adjustment kredit Tanah</t>
  </si>
  <si>
    <t>419202A-Adjustment kredit Bangunan/Gedung</t>
  </si>
  <si>
    <t>320101K-Adjustment debet cash call</t>
  </si>
  <si>
    <t>320102K-Adjustment debet pelepasan</t>
  </si>
  <si>
    <t>420101K-Adjustment kredit cost recovery</t>
  </si>
  <si>
    <t>420102K-Adjustment kredit pengambilalihan</t>
  </si>
  <si>
    <t>301100T-Adjustment Debet: Penjualan barang ke luar wilayah Indonesia. - ekspor barang, f.o.b. (free on board)</t>
  </si>
  <si>
    <t>301300T-Adjustment Kredit: Pengembalian dana (refunds) dalam rangka impor</t>
  </si>
  <si>
    <t>301600T-Adjustment Debet: Pendapatan manufaktur</t>
  </si>
  <si>
    <t>301700T-Adjustment Debet: Pendapatan pemeliharaan dan perbaikan</t>
  </si>
  <si>
    <t xml:space="preserve">301800T-Adjustment Debet: Penjualan barang di luar negeri </t>
  </si>
  <si>
    <t xml:space="preserve">301900T-Adjustment Kredit: Pengembalian dana (refunds) dalam rangka pembelian barang di luar negeri </t>
  </si>
  <si>
    <t>302101T-Adjustment Debet: Pendapatan jasa transportasi penumpang (Passenger) - Transportasi laut</t>
  </si>
  <si>
    <t>302102T-Adjustment Debet: Pendapatan jasa transportasi penumpang (Passenger) - Transportasi udara</t>
  </si>
  <si>
    <t>302103T-Adjustment Debet: Pendapatan jasa transportasi penumpang (Passenger) - Transportasi lainnya</t>
  </si>
  <si>
    <t>302201T-Adjustment Debet: Pendapatan jasa transportasi barang (Freight) dalam rangka ekspor dan impor - Transportasi laut</t>
  </si>
  <si>
    <t>302202T-Adjustment Debet: Pendapatan jasa transportasi barang (Freight) dalam rangka ekspor dan impor - Transportasi udara</t>
  </si>
  <si>
    <t>302203T-Adjustment Debet: Pendapatan jasa transportasi barang (Freight) dalam rangka ekspor dan impor - Transportasi lainnya</t>
  </si>
  <si>
    <t>302401T-Adjustment Debet: Pendapatan jasa transportasi barang (Freight) di luar ekspor dan impor - Transportasi laut</t>
  </si>
  <si>
    <t>302402T-Adjustment Debet: Pendapatan jasa transportasi barang (Freight) di luar ekspor dan impor - Transportasi udara</t>
  </si>
  <si>
    <t>302403T-Adjustment Debet: Pendapatan jasa transportasi barang (Freight) di luar ekspor dan impor - Transportasi lainnya</t>
  </si>
  <si>
    <t>302501T-Adjustment Debet: Pendapatan jasa penunjang transportasi - Transportasi laut</t>
  </si>
  <si>
    <t>302502T-Adjustment Debet: Pendapatan jasa penunjang transportasi - Transportasi udara</t>
  </si>
  <si>
    <t>302503T-Adjustment Debet: Pendapatan jasa penunjang transportasi - Transportasi lainnya</t>
  </si>
  <si>
    <t>303001T-Adjustment Debet: Pendapatan Travel - Perjalanan bisnis</t>
  </si>
  <si>
    <t>303002T-Adjustment Debet: Pendapatan Travel - Perjalanan non bisnis</t>
  </si>
  <si>
    <t>304000T-Adjustment Debet: Pendapatan Pendidikan/pelatihan</t>
  </si>
  <si>
    <t>305001T-Adjustment Debet: Pendapatan jasa pos dan kurir</t>
  </si>
  <si>
    <t>305102T-Adjustment Debet: Pendapatan telekomunikasi</t>
  </si>
  <si>
    <t>306101T-Adjustment Debet: Pendapatan konstruksi di luar negeri - sampai dengan 1 tahun</t>
  </si>
  <si>
    <t>306102T-Adjustment Debet: Pendapatan konstruksi di luar negeri - lebih dari satu tahun</t>
  </si>
  <si>
    <t>306201T-Adjustment Debet: Pendapatan konstruksi di Indonesia - sampai dengan 1 tahun</t>
  </si>
  <si>
    <t>306202T-Adjustment Debet: Pendapatan konstruksi di Indonesia - lebih dari satu tahun</t>
  </si>
  <si>
    <t>307101T-Adjustment Debet: Pendapatan asuransi jiwa - Beban premi (premium expense)</t>
  </si>
  <si>
    <t>307102T-Adjustment Debet: Pendapatan asuransi jiwa - Suplemen premi (premium supplements )</t>
  </si>
  <si>
    <t>307103T-Adjustment Debet: Pendapatan asuransi jiwa - Beban klaim (claims expense)</t>
  </si>
  <si>
    <t>307104T-Adjustment Debet: Pendapatan asuransi jiwa - dikurangi: klaim reasuransi</t>
  </si>
  <si>
    <t>307105T-Adjustment Debet: Pendapatan asuransi jiwa - Beban komisi (commission expense)</t>
  </si>
  <si>
    <t>307106T-Adjustment Debet: Pendapatan asuransi jiwa - dikurangi: pendapatan komisi</t>
  </si>
  <si>
    <t>307201T-Adjustment Debet: Pendapatan asuransi non-jiwa - Beban premi (premium expense)</t>
  </si>
  <si>
    <t>307202T-Adjustment Debet: Pendapatan asuransi non-jiwa - Suplemen premi (premium supplements )</t>
  </si>
  <si>
    <t>307203T-Adjustment Debet: Pendapatan asuransi non-jiwa - Beban klaim (claims expense)</t>
  </si>
  <si>
    <t>307204T-Adjustment Debet: Pendapatan asuransi non-jiwa - dikurangi: klaim reasuransi</t>
  </si>
  <si>
    <t>307205T-Adjustment Debet: Pendapatan asuransi non-jiwa - Beban komisi (commission expense)</t>
  </si>
  <si>
    <t>307206T-Adjustment Debet: Pendapatan asuransi non-jiwa - dikurangi: pendapatan komisi</t>
  </si>
  <si>
    <t>307301T-Adjustment Debet: Pendapatan reasuransi - Beban premi reasuransi (reinsurance premium expense)</t>
  </si>
  <si>
    <t>307302T-Adjustment Debet: Pendapatan reasuransi - Suplemen premi (premium supplements )</t>
  </si>
  <si>
    <t>307303T-Adjustment Debet: Pendapatan reasuransi - Beban klaim (claims expense)</t>
  </si>
  <si>
    <t>307304T-Adjustment Debet: Pendapatan reasuransi - dikurangi: klaim reasuransi</t>
  </si>
  <si>
    <t>307305T-Adjustment Debet: Pendapatan reasuransi - Beban komisi (commission expense)</t>
  </si>
  <si>
    <t>307306T-Adjustment Debet: Pendapatan reasuransi - dikurangi: pendapatan komisi</t>
  </si>
  <si>
    <t>307400T-Adjustment Debet: Pendapatan jasa penunjang asuransi (auxiliary insurance services)</t>
  </si>
  <si>
    <t>308000T-Adjustment Debet: Pendapatan jasa keuangan</t>
  </si>
  <si>
    <t>309000T-Adjustment Debet: Pendapatan komputer</t>
  </si>
  <si>
    <t>309100T-Adjustment Debet: Pendapatan informasi</t>
  </si>
  <si>
    <t>309900T-Adjustment Debet: Penjualan barang di dalam wilayah Indonesia</t>
  </si>
  <si>
    <t>310000T-Adjustment Debet: Pendapatan atas Penggunaan hak kekayaan intelektual</t>
  </si>
  <si>
    <t>311100T-Adjustment Debet: Pendapatan Operational leasing</t>
  </si>
  <si>
    <t>311201T-Adjustment Debet: Pendapatan sewa tanah</t>
  </si>
  <si>
    <t>311202T-Adjustment Debet: Pendapatan sewa ruang perkantoran, apartemen, rumah dan sejenisnya</t>
  </si>
  <si>
    <t>311203T-Adjustment Debet: Pendapatan sewa tanah dan ruang perkantoran, apartemen, rumah dan sejenisnya</t>
  </si>
  <si>
    <t>312000T-Adjustment Debet: Pendapatan penelitian dan pengembangan</t>
  </si>
  <si>
    <t>312100T-Adjustment Debet: Pendapatan di bidang hukum, akuntansi termasuk konsultasi pajak, konsultasi manajemen, dan kehumasan.</t>
  </si>
  <si>
    <t>312200T-Adjustment Debet: Pendapatan periklanan, penelitian pasar, dan jajak pendapat publik</t>
  </si>
  <si>
    <t>312300T-Adjustment Debet: Pendapatan arsitektur, rekayasa, dan teknik lainnya.</t>
  </si>
  <si>
    <t>312400T-Adjustment Debet: Pendapatan di bidang pengolahan sampah dan polusi, pertanian, dan pertambangan</t>
  </si>
  <si>
    <t>312500T-Adjustment Debet: Pendapatan terkait perdagangan</t>
  </si>
  <si>
    <t>313000T-Adjustment Debet: Pendapatan dalam bidang seni, budaya, dan rekreasi</t>
  </si>
  <si>
    <t>313900T-Adjustment Kredit: Pengembalian dana (refunds) dalam rangka pembelian barang di dalam wilayah Indonesia</t>
  </si>
  <si>
    <t>314000T-Adjustment Debet: Pendapatan atas penyediaaan barang/jasa oleh pemerintah asing</t>
  </si>
  <si>
    <t>316100T-Adjustment Debet: Beban pajak dan sejenisnya</t>
  </si>
  <si>
    <t>316201T-Adjustment Debet: Hibah atau sejenisnya yang tidak dikaitkan dengan kewajiban membeli fixed asset</t>
  </si>
  <si>
    <t>316202T-Adjustment Debet: Hibah atau sejenisnya yang dikaitkan dengan kewajiban membeli fixed asset</t>
  </si>
  <si>
    <t>316203T-Adjustment Debet: Hibah atau sejenisnya dalam bentuk barang (nonfinancial assets), seperti mesin</t>
  </si>
  <si>
    <t>316300T-Adjustment Debet: Pendapatan tenaga kerja</t>
  </si>
  <si>
    <t>316400T-Adjustment Debet: Pendapatan sanksi/denda, dan sejenisnya</t>
  </si>
  <si>
    <t>316500T-Adjustment Debet: Pendapatan atas hak untuk penggunaan sumber daya alam</t>
  </si>
  <si>
    <t>317000T-Adjustment Debet: Bunga, dividen dan sejenisnya - Dividen dan keuntungan/laba yang dibagikan, termasuk keuntungan yang berasal dari reksadana</t>
  </si>
  <si>
    <t>318101T-Adjustment Debet: Bunga, dividen dan sejenisnya - Surat-surat berharga yang diterbitkan oleh bukan penduduk - Sampai dengan satu tahun</t>
  </si>
  <si>
    <t>318102T-Adjustment Debet: Bunga, dividen dan sejenisnya - Surat-surat berharga yang diterbitkan oleh bukan penduduk - Lebih dari satu tahun</t>
  </si>
  <si>
    <t>318200T-Adjustment Debet: Bunga, dividen dan sejenisnya - Rekening giro dan simpanan, termasuk tabungan dan deposito mudharabah.</t>
  </si>
  <si>
    <t>318300T-Adjustment Debet: Bunga, dividen dan sejenisnya - Pinjaman</t>
  </si>
  <si>
    <t>318401T-Adjustment Debet: Bunga, dividen dan sejenisnya - Surat-surat berharga yang diterbitkan oleh penduduk - Sampai dengan satu tahun</t>
  </si>
  <si>
    <t>318402T-Adjustment Debet: Bunga, dividen dan sejenisnya - Surat-surat berharga yang diterbitkan oleh penduduk - Lebih dari satu tahun</t>
  </si>
  <si>
    <t>318500T-Adjustment Debet: Bunga, dividen dan sejenisnya - Gold swap</t>
  </si>
  <si>
    <t>318600T-Adjustment Debet: Pendapatan (Fee) atas transaksi securities lending dan gold loan/deposit</t>
  </si>
  <si>
    <t>319900T-Adjustment Debet: Pendapatan bisnis lainnya</t>
  </si>
  <si>
    <t>390100T-Adjustment Debet: Lainnya (jelaskan rinciannya)</t>
  </si>
  <si>
    <t>401200T-Adjustment Kredit: Pembelian barang dari luar wilayah Indonesia. - impor barang, f.o.b. (free on board)</t>
  </si>
  <si>
    <t>401300T-Adjustment Debet: Pengembalian dana (refunds) dalam rangka ekspor</t>
  </si>
  <si>
    <t>401600T-Adjustment Kredit: Beban Manufaktur</t>
  </si>
  <si>
    <t>401700T-Adjustment Kredit: Beban atas jasa pemeliharaan dan perbaikan</t>
  </si>
  <si>
    <t xml:space="preserve">401800T-Adjustment Kredit: Pembelian barang di luar negeri </t>
  </si>
  <si>
    <t>401900T-Adjustment Debet: Pengembalian dana (refunds) dalam rangka penjualan barang di luar negeri</t>
  </si>
  <si>
    <t>402101T-Adjustment Kredit: Beban jasa transportasi penumpang (Passenger) - Transportasi laut</t>
  </si>
  <si>
    <t>402102T-Adjustment Kredit: Beban jasa transportasi penumpang (Passenger) - Transportasi udara</t>
  </si>
  <si>
    <t>402103T-Adjustment Kredit: Beban jasa transportasi penumpang (Passenger) - Transportasi lainnya</t>
  </si>
  <si>
    <t>402201T-Adjustment Kredit: Beban jasa transportasi barang (Freight) dalam rangka ekspor dan impor - Transportasi laut</t>
  </si>
  <si>
    <t>402202T-Adjustment Kredit: Beban jasa transportasi barang (Freight) dalam rangka ekspor dan impor - Transportasi udara</t>
  </si>
  <si>
    <t>402203T-Adjustment Kredit: Beban jasa transportasi barang (Freight) dalam rangka ekspor dan impor - Transportasi lainnya</t>
  </si>
  <si>
    <t>402401T-Adjustment Kredit: Beban jasa transportasi barang (Freight) di luar ekspor dan impor - Transportasi laut</t>
  </si>
  <si>
    <t>402402T-Adjustment Kredit: Beban jasa transportasi barang (Freight) di luar ekspor dan impor - Transportasi udara</t>
  </si>
  <si>
    <t>402403T-Adjustment Kredit: Beban jasa transportasi barang (Freight) di luar ekspor dan impor - Transportasi lainnya</t>
  </si>
  <si>
    <t>402501T-Adjustment Kredit: Beban jasa penunjang transportasi - Transportasi laut</t>
  </si>
  <si>
    <t>402502T-Adjustment Kredit: Beban jasa penunjang transportasi - Transportasi udara</t>
  </si>
  <si>
    <t>402503T-Adjustment Kredit: Beban jasa penunjang transportasi - Transportasi lainnya</t>
  </si>
  <si>
    <t>403001T-Adjustment Kredit: Beban Travel - Perjalanan bisnis</t>
  </si>
  <si>
    <t>403002T-Adjustment Kredit: Beban Travel - Perjalanan non bisnis</t>
  </si>
  <si>
    <t>404000T-Adjustment Kredit: Beban pendidikan/pelatihan</t>
  </si>
  <si>
    <t>405000T-Adjustment Kredit: Beban jasa pos dan kurir</t>
  </si>
  <si>
    <t>405100T-Adjustment Kredit: Beban telekomunikasi</t>
  </si>
  <si>
    <t>406101T-Adjustment Kredit: Beban konstruksi di luar negeri - sampai dengan 1 tahun</t>
  </si>
  <si>
    <t>406102T-Adjustment Kredit: Beban konstruksi di luar negeri - lebih dari satu tahun</t>
  </si>
  <si>
    <t>406201T-Adjustment Kredit: Beban konstruksi di Indonesia - sampai dengan 1 tahun</t>
  </si>
  <si>
    <t>406202T-Adjustment Kredit: Beban konstruksi di Indonesia - lebih dari satu tahun</t>
  </si>
  <si>
    <t>407101T-Adjustment Kredit: Beban asuransi jiwa - Beban premi (premium earned)</t>
  </si>
  <si>
    <t>407102T-Adjustment Kredit: Beban asuransi jiwa - Suplemen premi (premium supplements )</t>
  </si>
  <si>
    <t>407103T-Adjustment Kredit: Beban asuransi jiwa - Beban klaim (claims received)</t>
  </si>
  <si>
    <t>407104T-Adjustment Kredit: Beban asuransi jiwa - dikurangi: Premi reasuransi/retrosesi</t>
  </si>
  <si>
    <t>407105T-Adjustment Kredit: Beban asuransi jiwa - Komisi diterima (commission received)</t>
  </si>
  <si>
    <t>407201T-Adjustment Kredit: Beban asuransi non jiwa - Beban premi (premium earned)</t>
  </si>
  <si>
    <t>407202T-Adjustment Kredit: Beban asuransi non jiwa - Suplemen premi (premium supplements )</t>
  </si>
  <si>
    <t>407203T-Adjustment Kredit: Beban asuransi non jiwa - Beban klaim (claims received)</t>
  </si>
  <si>
    <t>407204T-Adjustment Kredit: Beban asuransi non jiwa - dikurangi: Premi reasuransi/retrosesi</t>
  </si>
  <si>
    <t>407205T-Adjustment Kredit: Beban asuransi non jiwa - Komisi diterima (commission received)</t>
  </si>
  <si>
    <t>407301T-Adjustment Kredit: Beban reasuransi - Beban premi (premium earned)</t>
  </si>
  <si>
    <t>407302T-Adjustment Kredit: Beban reasuransi - Suplemen premi (premium supplements )</t>
  </si>
  <si>
    <t>407303T-Adjustment Kredit: Beban reasuransi - Beban klaim (claims received)</t>
  </si>
  <si>
    <t>407304T-Adjustment Kredit: Beban reasuransi - dikurangi: Premi reasuransi/retrosesi</t>
  </si>
  <si>
    <t>407305T-Adjustment Kredit: Beban reasuransi - Komisi diterima (commission received)</t>
  </si>
  <si>
    <t>407400T-Adjustment Kredit: Beban reasuransi - Beban atas jasa penunjang asuransi (auxiliary insurance services)</t>
  </si>
  <si>
    <t>408000T-Adjustment Kredit: Beban jasa keuangan</t>
  </si>
  <si>
    <t>409000T-Adjustment Kredit: Beban komputer</t>
  </si>
  <si>
    <t>409100T-Adjustment Kredit: Beban informasi</t>
  </si>
  <si>
    <t>409900T-Adjustment Kredit: Pembelian barang di dalam wilayah Indonesia</t>
  </si>
  <si>
    <t>410000T-Adjustment Kredit: Beban atas penggunaan hak kekayaan intelektual</t>
  </si>
  <si>
    <t>411100T-Adjustment Kredit: Beban Operational leasing</t>
  </si>
  <si>
    <t>411201T-Adjustment Kredit: Beban sewa tanah dan gedung - tanah</t>
  </si>
  <si>
    <t>411202T-Adjustment Kredit: Beban sewa tanah dan gedung - ruang perkantoran, apartemen, rumah dan sejenisnya</t>
  </si>
  <si>
    <t>411203T-Adjustment Kredit: Beban sewa tanah dan gedung - tanah dan ruang perkantoran, apartemen, rumah dan sejenisnya</t>
  </si>
  <si>
    <t>412000T-Adjustment Kredit: Beban penelitian dan pengembangan</t>
  </si>
  <si>
    <t>412100T-Adjustment Kredit: Beban di bidang hukum, akuntansi termasuk konsultasi pajak, konsultasi manajemen, dan kehumasan.</t>
  </si>
  <si>
    <t>412200T-Adjustment Kredit: Beban periklanan, penelitian pasar, dan jajak pendapat publik</t>
  </si>
  <si>
    <t>412300T-Adjustment Kredit: Beban arsitektur, rekayasa, dan teknik lainnya.</t>
  </si>
  <si>
    <t>412400T-Adjustment Kredit: Beban di bidang pengolahan sampah dan polusi, pertanian, dan pertambangan</t>
  </si>
  <si>
    <t>412500T-Adjustment Kredit: Beban terkait perdagangan</t>
  </si>
  <si>
    <t>413000T-Adjustment Kredit: Beban di bidang seni, budaya, dan rekreasi</t>
  </si>
  <si>
    <t>413900T-Adjustment Debet: Pengembalian dana (refunds) dalam rangka penjualan di dalam wilayah Indonesia</t>
  </si>
  <si>
    <t>414000T-Adjustment Kredit: Beban atas barang/jasa yang diberikan ke pemerintah asing</t>
  </si>
  <si>
    <t>416100T-Adjustment Kredit: Beban pajak dan sejenisnya</t>
  </si>
  <si>
    <t>416201T-Adjustment Kredit: Hibah atau sejenisnya (dalam bentuk cash) yang tidak dikaitkan dengan kewajiban membeli fixed asset</t>
  </si>
  <si>
    <t>416202T-Adjustment Kredit: Hibah atau sejenisnya (dalam bentuk cash) yang dikaitkan dengan kewajiban membeli fixed asset</t>
  </si>
  <si>
    <t>416203T-Adjustment Kredit: Hibah atau sejenisnya dalam bentuk barang (nonfinancial assets), seperti mesin</t>
  </si>
  <si>
    <t>416300T-Adjustment Kredit: Beban tenaga kerja</t>
  </si>
  <si>
    <t>416400T-Adjustment Kredit: Beban sanksi/denda, dan sejenisnya</t>
  </si>
  <si>
    <t>416500T-Adjustment Kredit: Beban atas hak untuk penggunaan sumber daya alam</t>
  </si>
  <si>
    <t>417000T-Adjustment Kredit: Bunga, dividen dan sejenisnya - Dividen dan keuntungan/laba yang dibagikan, termasuk keuntungan yang berasal dari reksadana</t>
  </si>
  <si>
    <t>418101T-Adjustment Kredit: Bunga, dividen dan sejenisnya - Surat-surat berharga yang diterbitkan oleh bukan penduduk - Sampai dengan satu tahun</t>
  </si>
  <si>
    <t>418102T-Adjustment Kredit: Bunga, dividen dan sejenisnya - Surat-surat berharga yang diterbitkan oleh bukan penduduk - Lebih dari satu tahun</t>
  </si>
  <si>
    <t>418200T-Adjustment Kredit: Bunga, dividen dan sejenisnya - Rekening giro dan simpanan, termasuk tabungan dan deposito mudharabah.</t>
  </si>
  <si>
    <t>418300T-Adjustment Kredit: Bunga, dividen dan sejenisnya - Pinjaman</t>
  </si>
  <si>
    <t>418401T-Adjustment Kredit: Bunga, dividen dan sejenisnya - Surat-surat berharga yang diterbitkan oleh penduduk - Sampai dengan satu tahun</t>
  </si>
  <si>
    <t>418402T-Adjustment Kredit: Bunga, dividen dan sejenisnya - Surat-surat berharga yang diterbitkan oleh penduduk - Lebih dari satu tahun</t>
  </si>
  <si>
    <t>418500T-Adjustment Kredit: Bunga, dividen dan sejenisnya - Gold swap</t>
  </si>
  <si>
    <t>418600T-Adjustment Kredit: Beban atas transaksi securities lending dan gold loan/deposit</t>
  </si>
  <si>
    <t>419900T-Adjustment Kredit: Beban bisnis lainnya</t>
  </si>
  <si>
    <t>490100T-Adjustment Kredit: Lainnya (jelaskan rinciannya)</t>
  </si>
  <si>
    <t xml:space="preserve">CA-Canada </t>
  </si>
  <si>
    <t xml:space="preserve">CV-Cape Verde </t>
  </si>
  <si>
    <t xml:space="preserve">KY-Cayman Islands </t>
  </si>
  <si>
    <t>101400K-Debet prepayment penjualan barang</t>
  </si>
  <si>
    <t>107700K-Debet prepayment jasa</t>
  </si>
  <si>
    <t>201400K-Kredit prepayment penjualan barang</t>
  </si>
  <si>
    <t>207700K-Kredit prepayment jasa</t>
  </si>
  <si>
    <t>301400K-Adjustment debet prepayment penjualan barang</t>
  </si>
  <si>
    <t>307700K-Adjustment debet prepayment jasa</t>
  </si>
  <si>
    <t>401400K-Adjustment kredit prepayment penjualan barang</t>
  </si>
  <si>
    <t>407700K-Adjustment kredit prepayment jasa</t>
  </si>
  <si>
    <t>501400K-Perubahan lain debet prepayment penjualan barang</t>
  </si>
  <si>
    <t>507700K-Perubahan lain debet prepayment jasa</t>
  </si>
  <si>
    <t>501400K-Perubahan lain kredit prepayment penjualan barang</t>
  </si>
  <si>
    <t>507700K-Perubahan lain kredit prepayment jasa</t>
  </si>
  <si>
    <t>SJT Prepayment</t>
  </si>
  <si>
    <t>10-Spot</t>
  </si>
  <si>
    <t>20-Forward/Futures</t>
  </si>
  <si>
    <t>30-Swap</t>
  </si>
  <si>
    <t xml:space="preserve">40-Option </t>
  </si>
  <si>
    <t>50-Lainnya</t>
  </si>
  <si>
    <t>140001A - Debet piutang penjualan barang</t>
  </si>
  <si>
    <t>240001A - Kredit  piutang penjualan barang</t>
  </si>
  <si>
    <t>340001A - Adjustment debet piutang penjualan barang</t>
  </si>
  <si>
    <t>440001A - Adjustment kredit piutang penjualan barang</t>
  </si>
  <si>
    <t>540001A - Mutasi lainnya debet piutang penjualan barang</t>
  </si>
  <si>
    <t>640001A - Mutasi lainnya kredit piutang penjualan barang</t>
  </si>
  <si>
    <t>140002A - Debet piutang selain penjualan barang</t>
  </si>
  <si>
    <t>240002A - Kredit piutang selain penjualan barang</t>
  </si>
  <si>
    <t>340002A - Adjustment debet piutang selain penjualan barang</t>
  </si>
  <si>
    <t>440002A - Adjustment kredit piutang selain penjualan barang</t>
  </si>
  <si>
    <t>540002A - Mutasi lainnya debet piutang selain penjualan barang</t>
  </si>
  <si>
    <t>640002A - Mutasi lainnya kredit piutang selain penjualan barang</t>
  </si>
  <si>
    <t>Kota/Kabupaten Asal Pengiriman</t>
  </si>
  <si>
    <t>Negara Tujuan Pengiriman</t>
  </si>
  <si>
    <t>Nama Penerima</t>
  </si>
  <si>
    <t>Nama Pengirim</t>
  </si>
  <si>
    <t>Nominal transaksi</t>
  </si>
  <si>
    <t>Tujuan Transaksi</t>
  </si>
  <si>
    <t>Sandi Usaha</t>
  </si>
  <si>
    <t>1-Usaha</t>
  </si>
  <si>
    <t>2-Non Usaha - Pendidikan</t>
  </si>
  <si>
    <t>3-Non Usaha - Lainnya</t>
  </si>
  <si>
    <t>Transaksi Pengiriman Uang dari Indonesia ke Luar Negeri</t>
  </si>
  <si>
    <t>Transaksi Pengiriman Uang dari Luar Negeri ke Indonesia</t>
  </si>
  <si>
    <t>Transaksi Pengiriman Uang di dalam Wilayah Republik Indonesia</t>
  </si>
  <si>
    <t>Kota/Kabupten Tujuan Pengiriman</t>
  </si>
  <si>
    <t>Volume/frekuensi transaksi</t>
  </si>
  <si>
    <t>Negara Asal Pengiriman</t>
  </si>
  <si>
    <t>Kota/Kabupaten Tujuan Pengiriman</t>
  </si>
  <si>
    <t>Jumlah Record :</t>
  </si>
  <si>
    <t>G0001</t>
  </si>
  <si>
    <t>G0002</t>
  </si>
  <si>
    <t>G0003</t>
  </si>
  <si>
    <t>LTDBB HEADER</t>
  </si>
  <si>
    <t>addrow</t>
  </si>
  <si>
    <t>[Add Row]</t>
  </si>
  <si>
    <t>Jumlah Record</t>
  </si>
  <si>
    <t>2-Non Usaha – Pendidikan</t>
  </si>
  <si>
    <t xml:space="preserve">3-Non Usaha – Lainnya </t>
  </si>
  <si>
    <t>Multi Add Row</t>
  </si>
  <si>
    <t>3</t>
  </si>
  <si>
    <t>799999995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</si>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</sst>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_(* #,##0_);_(* \(#,##0\);_(* &quot;-&quot;??_);_(@_)"/>
    <numFmt numFmtId="165" formatCode="00"/>
    <numFmt numFmtId="166" formatCode="yyyymm"/>
    <numFmt numFmtId="167" formatCode="yyyy\-mm\-dd"/>
    <numFmt numFmtId="168" formatCode="000000000"/>
  </numFmts>
  <fonts count="45" x14ac:knownFonts="1">
    <font>
      <sz val="11"/>
      <color theme="1"/>
      <name val="Calibri"/>
      <family val="2"/>
      <charset val="1"/>
      <scheme val="minor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Candara"/>
      <family val="2"/>
    </font>
    <font>
      <sz val="10"/>
      <color indexed="8"/>
      <name val="Times New Roman"/>
      <family val="1"/>
    </font>
    <font>
      <sz val="8"/>
      <name val="Optima"/>
      <family val="2"/>
    </font>
    <font>
      <sz val="11"/>
      <color indexed="8"/>
      <name val="Frutiger 45 Light"/>
      <family val="2"/>
    </font>
    <font>
      <b/>
      <sz val="8"/>
      <name val="Optima"/>
      <family val="2"/>
    </font>
    <font>
      <sz val="11"/>
      <name val="Frutiger 45 Light"/>
      <family val="3"/>
    </font>
    <font>
      <u/>
      <sz val="11"/>
      <name val="Frutiger 45 Light"/>
      <family val="3"/>
    </font>
    <font>
      <sz val="11"/>
      <name val="Times New Roman"/>
      <family val="1"/>
    </font>
    <font>
      <sz val="10"/>
      <name val="Times New Roman"/>
      <family val="1"/>
    </font>
    <font>
      <b/>
      <sz val="10"/>
      <color indexed="8"/>
      <name val="Times New Roman"/>
      <family val="1"/>
    </font>
    <font>
      <sz val="9"/>
      <color indexed="12"/>
      <name val="Times New Roman"/>
      <family val="1"/>
    </font>
    <font>
      <i/>
      <sz val="10"/>
      <name val="Times New Roman"/>
      <family val="1"/>
    </font>
    <font>
      <b/>
      <sz val="10"/>
      <name val="Arial"/>
      <family val="2"/>
    </font>
    <font>
      <i/>
      <sz val="11"/>
      <color indexed="8"/>
      <name val="Calibri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Times New Roman"/>
      <family val="1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C00000"/>
      <name val="Calibri"/>
      <family val="2"/>
      <scheme val="minor"/>
    </font>
    <font>
      <b/>
      <sz val="10"/>
      <color theme="4" tint="-0.249977111117893"/>
      <name val="Times New Roman"/>
      <family val="1"/>
    </font>
    <font>
      <sz val="7"/>
      <color rgb="FF000000"/>
      <name val="Calibri"/>
      <family val="2"/>
      <scheme val="minor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theme="4" tint="-0.249977111117893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charset val="1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5D2884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2060"/>
      <name val="Calibri"/>
      <family val="2"/>
      <scheme val="minor"/>
    </font>
    <font>
      <sz val="10"/>
      <color theme="1"/>
      <name val="Cambria"/>
      <family val="1"/>
      <scheme val="major"/>
    </font>
    <font>
      <b/>
      <sz val="12"/>
      <color theme="1"/>
      <name val="Arial"/>
      <family val="2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Times New Roman"/>
      <family val="1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/>
      <diagonal/>
    </border>
  </borders>
  <cellStyleXfs count="3">
    <xf numFmtId="0" fontId="0" fillId="0" borderId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20" fillId="0" borderId="0" xfId="0" applyFont="1"/>
    <xf numFmtId="0" fontId="0" fillId="0" borderId="0" xfId="0" applyBorder="1"/>
    <xf numFmtId="164" fontId="19" fillId="0" borderId="0" xfId="1" applyNumberFormat="1" applyFont="1" applyBorder="1"/>
    <xf numFmtId="0" fontId="21" fillId="0" borderId="1" xfId="0" applyFont="1" applyBorder="1" applyAlignment="1"/>
    <xf numFmtId="0" fontId="21" fillId="0" borderId="2" xfId="0" applyFont="1" applyBorder="1" applyAlignment="1"/>
    <xf numFmtId="165" fontId="21" fillId="0" borderId="3" xfId="0" applyNumberFormat="1" applyFont="1" applyBorder="1"/>
    <xf numFmtId="0" fontId="22" fillId="0" borderId="4" xfId="0" applyFont="1" applyBorder="1"/>
    <xf numFmtId="0" fontId="23" fillId="0" borderId="4" xfId="0" applyFont="1" applyBorder="1"/>
    <xf numFmtId="165" fontId="21" fillId="0" borderId="3" xfId="0" applyNumberFormat="1" applyFont="1" applyFill="1" applyBorder="1"/>
    <xf numFmtId="0" fontId="0" fillId="0" borderId="0" xfId="0" quotePrefix="1"/>
    <xf numFmtId="165" fontId="21" fillId="0" borderId="5" xfId="0" applyNumberFormat="1" applyFont="1" applyBorder="1"/>
    <xf numFmtId="0" fontId="22" fillId="0" borderId="6" xfId="0" applyFont="1" applyBorder="1"/>
    <xf numFmtId="165" fontId="21" fillId="0" borderId="5" xfId="0" applyNumberFormat="1" applyFont="1" applyFill="1" applyBorder="1"/>
    <xf numFmtId="0" fontId="23" fillId="0" borderId="6" xfId="0" applyFont="1" applyBorder="1"/>
    <xf numFmtId="0" fontId="24" fillId="0" borderId="6" xfId="0" applyFont="1" applyBorder="1"/>
    <xf numFmtId="165" fontId="21" fillId="0" borderId="7" xfId="0" applyNumberFormat="1" applyFont="1" applyBorder="1"/>
    <xf numFmtId="0" fontId="22" fillId="0" borderId="8" xfId="0" applyFont="1" applyBorder="1"/>
    <xf numFmtId="0" fontId="21" fillId="0" borderId="0" xfId="0" quotePrefix="1" applyFont="1"/>
    <xf numFmtId="0" fontId="21" fillId="0" borderId="0" xfId="0" applyFont="1"/>
    <xf numFmtId="165" fontId="21" fillId="0" borderId="3" xfId="0" quotePrefix="1" applyNumberFormat="1" applyFont="1" applyBorder="1"/>
    <xf numFmtId="0" fontId="21" fillId="0" borderId="0" xfId="0" applyFont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Fill="1" applyBorder="1"/>
    <xf numFmtId="0" fontId="3" fillId="0" borderId="9" xfId="0" applyFont="1" applyBorder="1"/>
    <xf numFmtId="0" fontId="19" fillId="0" borderId="0" xfId="0" quotePrefix="1" applyFont="1"/>
    <xf numFmtId="0" fontId="3" fillId="0" borderId="0" xfId="0" applyFont="1"/>
    <xf numFmtId="0" fontId="4" fillId="0" borderId="0" xfId="0" applyNumberFormat="1" applyFont="1" applyFill="1" applyBorder="1" applyAlignment="1">
      <alignment vertical="top" wrapText="1"/>
    </xf>
    <xf numFmtId="0" fontId="25" fillId="2" borderId="15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10" xfId="0" applyFont="1" applyBorder="1" applyAlignment="1">
      <alignment wrapText="1"/>
    </xf>
    <xf numFmtId="0" fontId="7" fillId="0" borderId="11" xfId="0" applyFont="1" applyBorder="1" applyAlignment="1">
      <alignment vertical="top"/>
    </xf>
    <xf numFmtId="0" fontId="8" fillId="0" borderId="0" xfId="0" applyFont="1"/>
    <xf numFmtId="0" fontId="9" fillId="0" borderId="12" xfId="0" applyFont="1" applyBorder="1"/>
    <xf numFmtId="0" fontId="9" fillId="0" borderId="12" xfId="0" applyFont="1" applyFill="1" applyBorder="1" applyAlignment="1">
      <alignment wrapText="1"/>
    </xf>
    <xf numFmtId="0" fontId="11" fillId="0" borderId="0" xfId="0" applyFont="1" applyFill="1" applyAlignment="1">
      <alignment vertical="top"/>
    </xf>
    <xf numFmtId="0" fontId="5" fillId="0" borderId="0" xfId="0" quotePrefix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0" fontId="12" fillId="0" borderId="0" xfId="0" applyFont="1" applyBorder="1"/>
    <xf numFmtId="0" fontId="13" fillId="0" borderId="0" xfId="0" applyFont="1" applyBorder="1"/>
    <xf numFmtId="0" fontId="14" fillId="0" borderId="0" xfId="0" applyFont="1" applyAlignment="1">
      <alignment horizontal="center"/>
    </xf>
    <xf numFmtId="0" fontId="12" fillId="0" borderId="0" xfId="0" applyFont="1" applyFill="1" applyBorder="1" applyAlignment="1">
      <alignment horizontal="left" wrapText="1"/>
    </xf>
    <xf numFmtId="0" fontId="15" fillId="0" borderId="0" xfId="0" applyFont="1" applyFill="1" applyBorder="1" applyAlignment="1">
      <alignment horizontal="left"/>
    </xf>
    <xf numFmtId="0" fontId="5" fillId="0" borderId="0" xfId="0" applyFont="1" applyFill="1" applyBorder="1"/>
    <xf numFmtId="0" fontId="14" fillId="0" borderId="0" xfId="0" applyFont="1"/>
    <xf numFmtId="0" fontId="12" fillId="0" borderId="0" xfId="0" applyFont="1" applyFill="1" applyBorder="1"/>
    <xf numFmtId="164" fontId="26" fillId="0" borderId="0" xfId="1" applyNumberFormat="1" applyFont="1" applyBorder="1" applyAlignment="1">
      <alignment horizontal="center" vertical="center"/>
    </xf>
    <xf numFmtId="164" fontId="0" fillId="0" borderId="0" xfId="0" applyNumberFormat="1"/>
    <xf numFmtId="0" fontId="27" fillId="0" borderId="0" xfId="0" applyFont="1" applyFill="1" applyBorder="1" applyAlignment="1">
      <alignment vertical="center" wrapText="1"/>
    </xf>
    <xf numFmtId="0" fontId="3" fillId="0" borderId="9" xfId="0" quotePrefix="1" applyFont="1" applyBorder="1"/>
    <xf numFmtId="0" fontId="0" fillId="0" borderId="0" xfId="0" applyAlignment="1">
      <alignment horizontal="left"/>
    </xf>
    <xf numFmtId="0" fontId="16" fillId="0" borderId="0" xfId="0" applyFont="1" applyFill="1" applyBorder="1"/>
    <xf numFmtId="167" fontId="0" fillId="0" borderId="0" xfId="0" applyNumberFormat="1"/>
    <xf numFmtId="0" fontId="28" fillId="0" borderId="13" xfId="0" applyFont="1" applyBorder="1"/>
    <xf numFmtId="0" fontId="29" fillId="0" borderId="14" xfId="0" applyFont="1" applyBorder="1"/>
    <xf numFmtId="0" fontId="30" fillId="0" borderId="14" xfId="0" applyFont="1" applyBorder="1"/>
    <xf numFmtId="166" fontId="0" fillId="0" borderId="0" xfId="0" applyNumberFormat="1"/>
    <xf numFmtId="0" fontId="0" fillId="0" borderId="0" xfId="0" applyProtection="1">
      <protection locked="0"/>
    </xf>
    <xf numFmtId="0" fontId="31" fillId="0" borderId="0" xfId="0" applyFont="1"/>
    <xf numFmtId="0" fontId="20" fillId="0" borderId="0" xfId="0" applyFont="1" applyAlignment="1">
      <alignment horizontal="right"/>
    </xf>
    <xf numFmtId="0" fontId="32" fillId="3" borderId="0" xfId="0" applyFont="1" applyFill="1" applyAlignment="1" applyProtection="1">
      <alignment horizontal="center"/>
      <protection locked="0"/>
    </xf>
    <xf numFmtId="0" fontId="31" fillId="0" borderId="0" xfId="0" applyFont="1" applyFill="1"/>
    <xf numFmtId="0" fontId="33" fillId="0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0" fillId="0" borderId="0" xfId="0" quotePrefix="1" applyNumberFormat="1"/>
    <xf numFmtId="166" fontId="35" fillId="0" borderId="0" xfId="0" applyNumberFormat="1" applyFont="1" applyFill="1" applyAlignment="1" applyProtection="1">
      <alignment horizontal="center"/>
    </xf>
    <xf numFmtId="0" fontId="35" fillId="0" borderId="0" xfId="0" applyFont="1" applyFill="1" applyAlignment="1" applyProtection="1">
      <alignment horizontal="center"/>
    </xf>
    <xf numFmtId="49" fontId="0" fillId="0" borderId="0" xfId="0" applyNumberFormat="1"/>
    <xf numFmtId="168" fontId="0" fillId="0" borderId="0" xfId="0" applyNumberFormat="1"/>
    <xf numFmtId="168" fontId="33" fillId="0" borderId="0" xfId="0" applyNumberFormat="1" applyFont="1" applyFill="1"/>
    <xf numFmtId="168" fontId="33" fillId="0" borderId="0" xfId="0" applyNumberFormat="1" applyFont="1" applyFill="1" applyAlignment="1">
      <alignment horizontal="left"/>
    </xf>
    <xf numFmtId="0" fontId="34" fillId="0" borderId="0" xfId="0" applyFont="1" applyAlignment="1">
      <alignment vertical="center"/>
    </xf>
    <xf numFmtId="0" fontId="33" fillId="0" borderId="0" xfId="0" applyFont="1" applyFill="1" applyAlignment="1">
      <alignment horizontal="left" vertical="center"/>
    </xf>
    <xf numFmtId="168" fontId="0" fillId="0" borderId="0" xfId="0" quotePrefix="1" applyNumberFormat="1"/>
    <xf numFmtId="0" fontId="36" fillId="0" borderId="0" xfId="0" applyFont="1"/>
    <xf numFmtId="0" fontId="37" fillId="0" borderId="0" xfId="0" applyFont="1"/>
    <xf numFmtId="0" fontId="38" fillId="0" borderId="0" xfId="0" applyFont="1"/>
    <xf numFmtId="49" fontId="38" fillId="0" borderId="0" xfId="0" applyNumberFormat="1" applyFont="1"/>
    <xf numFmtId="0" fontId="39" fillId="0" borderId="0" xfId="0" quotePrefix="1" applyFont="1"/>
    <xf numFmtId="0" fontId="40" fillId="0" borderId="0" xfId="0" applyFont="1" applyAlignment="1">
      <alignment vertical="center"/>
    </xf>
    <xf numFmtId="49" fontId="40" fillId="0" borderId="0" xfId="0" applyNumberFormat="1" applyFont="1" applyAlignment="1">
      <alignment vertical="center"/>
    </xf>
    <xf numFmtId="49" fontId="33" fillId="0" borderId="0" xfId="0" applyNumberFormat="1" applyFont="1" applyFill="1" applyAlignment="1">
      <alignment horizontal="center" vertical="center"/>
    </xf>
    <xf numFmtId="0" fontId="5" fillId="2" borderId="15" xfId="0" applyFont="1" applyFill="1" applyBorder="1" applyAlignment="1">
      <alignment horizontal="center" vertical="center" wrapText="1"/>
    </xf>
    <xf numFmtId="3" fontId="0" fillId="0" borderId="12" xfId="0" applyNumberFormat="1" applyBorder="1" applyProtection="1">
      <protection locked="0"/>
    </xf>
    <xf numFmtId="0" fontId="0" fillId="0" borderId="12" xfId="0" applyBorder="1"/>
    <xf numFmtId="49" fontId="0" fillId="0" borderId="12" xfId="0" applyNumberFormat="1" applyBorder="1" applyProtection="1">
      <protection locked="0"/>
    </xf>
    <xf numFmtId="49" fontId="32" fillId="3" borderId="0" xfId="0" applyNumberFormat="1" applyFont="1" applyFill="1" applyAlignment="1" applyProtection="1">
      <alignment horizontal="center"/>
      <protection locked="0"/>
    </xf>
    <xf numFmtId="0" fontId="41" fillId="0" borderId="0" xfId="0" applyFont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42" fillId="0" borderId="0" xfId="0" applyFont="1"/>
    <xf numFmtId="0" fontId="43" fillId="0" borderId="0" xfId="0" applyFont="1" applyBorder="1" applyAlignment="1">
      <alignment horizontal="center" vertical="center" wrapText="1"/>
    </xf>
    <xf numFmtId="0" fontId="0" fillId="0" borderId="12" xfId="0" applyBorder="1" applyProtection="1">
      <protection locked="0"/>
    </xf>
    <xf numFmtId="14" fontId="0" fillId="0" borderId="12" xfId="0" applyNumberFormat="1" applyBorder="1" applyProtection="1">
      <protection locked="0"/>
    </xf>
    <xf numFmtId="3" fontId="19" fillId="0" borderId="12" xfId="1" applyNumberFormat="1" applyFont="1" applyBorder="1" applyProtection="1">
      <protection locked="0"/>
    </xf>
    <xf numFmtId="167" fontId="0" fillId="0" borderId="12" xfId="0" applyNumberFormat="1" applyBorder="1" applyProtection="1">
      <protection locked="0"/>
    </xf>
    <xf numFmtId="164" fontId="19" fillId="0" borderId="12" xfId="1" applyNumberFormat="1" applyFont="1" applyBorder="1" applyProtection="1">
      <protection locked="0"/>
    </xf>
    <xf numFmtId="164" fontId="32" fillId="0" borderId="0" xfId="1" applyNumberFormat="1" applyFont="1" applyBorder="1"/>
    <xf numFmtId="49" fontId="32" fillId="3" borderId="0" xfId="0" applyNumberFormat="1" applyFont="1" applyFill="1" applyAlignment="1" applyProtection="1">
      <alignment horizontal="center"/>
      <protection locked="0"/>
    </xf>
    <xf numFmtId="0" fontId="20" fillId="0" borderId="0" xfId="0" applyFont="1" applyAlignment="1">
      <alignment horizontal="right"/>
    </xf>
    <xf numFmtId="49" fontId="32" fillId="3" borderId="0" xfId="0" applyNumberFormat="1" applyFont="1" applyFill="1" applyAlignment="1" applyProtection="1">
      <alignment horizontal="center"/>
      <protection locked="0"/>
    </xf>
    <xf numFmtId="0" fontId="44" fillId="0" borderId="0" xfId="0" applyFont="1" applyAlignment="1">
      <alignment horizontal="center"/>
    </xf>
    <xf numFmtId="0" fontId="40" fillId="0" borderId="0" xfId="0" applyFont="1" applyAlignment="1">
      <alignment horizontal="center" vertical="center"/>
    </xf>
    <xf numFmtId="0" fontId="43" fillId="0" borderId="3" xfId="0" applyFont="1" applyBorder="1"/>
    <xf numFmtId="0" fontId="43" fillId="0" borderId="0" xfId="0" applyFont="1" applyBorder="1"/>
  </cellXfs>
  <cellStyles count="3">
    <cellStyle name="Comma" xfId="1" builtinId="3"/>
    <cellStyle name="Comma 3" xfId="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2</xdr:row>
          <xdr:rowOff>50800</xdr:rowOff>
        </xdr:from>
        <xdr:to>
          <xdr:col>7</xdr:col>
          <xdr:colOff>1111250</xdr:colOff>
          <xdr:row>3</xdr:row>
          <xdr:rowOff>127000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107950</xdr:colOff>
          <xdr:row>2</xdr:row>
          <xdr:rowOff>63500</xdr:rowOff>
        </xdr:from>
        <xdr:to>
          <xdr:col>6</xdr:col>
          <xdr:colOff>901700</xdr:colOff>
          <xdr:row>3</xdr:row>
          <xdr:rowOff>120650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2</xdr:row>
          <xdr:rowOff>50800</xdr:rowOff>
        </xdr:from>
        <xdr:to>
          <xdr:col>7</xdr:col>
          <xdr:colOff>946150</xdr:colOff>
          <xdr:row>3</xdr:row>
          <xdr:rowOff>127000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ahmad_m\Local%20Settings\Temporary%20Internet%20Files\Content.Outlook\EC1M7G24\Hayyu%20Indo(a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>
        <row r="1">
          <cell r="A1" t="str">
            <v>Afganistan</v>
          </cell>
        </row>
        <row r="2">
          <cell r="A2" t="str">
            <v>Afrika Selatan</v>
          </cell>
        </row>
        <row r="3">
          <cell r="A3" t="str">
            <v>Albania</v>
          </cell>
        </row>
        <row r="4">
          <cell r="A4" t="str">
            <v>Aljazair</v>
          </cell>
        </row>
        <row r="5">
          <cell r="A5" t="str">
            <v>Amerika Serikat</v>
          </cell>
        </row>
        <row r="6">
          <cell r="A6" t="str">
            <v>Andorra</v>
          </cell>
        </row>
        <row r="7">
          <cell r="A7" t="str">
            <v>Angola</v>
          </cell>
        </row>
        <row r="8">
          <cell r="A8" t="str">
            <v>Antigua dan Barbuda</v>
          </cell>
        </row>
        <row r="9">
          <cell r="A9" t="str">
            <v>Arab Saudi</v>
          </cell>
        </row>
        <row r="10">
          <cell r="A10" t="str">
            <v>Argentina</v>
          </cell>
        </row>
        <row r="11">
          <cell r="A11" t="str">
            <v>Armenia</v>
          </cell>
        </row>
        <row r="12">
          <cell r="A12" t="str">
            <v>Australia</v>
          </cell>
        </row>
        <row r="13">
          <cell r="A13" t="str">
            <v>Austria</v>
          </cell>
        </row>
        <row r="14">
          <cell r="A14" t="str">
            <v>Azerbaijan</v>
          </cell>
        </row>
        <row r="15">
          <cell r="A15" t="str">
            <v>Bahama</v>
          </cell>
        </row>
        <row r="16">
          <cell r="A16" t="str">
            <v>Bahrain</v>
          </cell>
        </row>
        <row r="17">
          <cell r="A17" t="str">
            <v>Bangladesh</v>
          </cell>
        </row>
        <row r="18">
          <cell r="A18" t="str">
            <v>Barbados</v>
          </cell>
        </row>
        <row r="19">
          <cell r="A19" t="str">
            <v xml:space="preserve">Belanda </v>
          </cell>
        </row>
        <row r="20">
          <cell r="A20" t="str">
            <v>Belarus</v>
          </cell>
        </row>
        <row r="21">
          <cell r="A21" t="str">
            <v>Belgia</v>
          </cell>
        </row>
        <row r="22">
          <cell r="A22" t="str">
            <v>Belize</v>
          </cell>
        </row>
        <row r="23">
          <cell r="A23" t="str">
            <v>Benin</v>
          </cell>
        </row>
        <row r="24">
          <cell r="A24" t="str">
            <v>Bhutan</v>
          </cell>
        </row>
        <row r="25">
          <cell r="A25" t="str">
            <v>Bolivia</v>
          </cell>
        </row>
        <row r="26">
          <cell r="A26" t="str">
            <v>Bosnia-Herzegovina</v>
          </cell>
        </row>
        <row r="27">
          <cell r="A27" t="str">
            <v>Botswana</v>
          </cell>
        </row>
        <row r="28">
          <cell r="A28" t="str">
            <v>Brasil</v>
          </cell>
        </row>
        <row r="29">
          <cell r="A29" t="str">
            <v>Britania Raya</v>
          </cell>
        </row>
        <row r="30">
          <cell r="A30" t="str">
            <v>Brunei</v>
          </cell>
        </row>
        <row r="31">
          <cell r="A31" t="str">
            <v>Bulgaria</v>
          </cell>
        </row>
        <row r="32">
          <cell r="A32" t="str">
            <v>Burkina Faso</v>
          </cell>
        </row>
        <row r="33">
          <cell r="A33" t="str">
            <v>Burundi</v>
          </cell>
        </row>
        <row r="34">
          <cell r="A34" t="str">
            <v>Ceko</v>
          </cell>
        </row>
        <row r="35">
          <cell r="A35" t="str">
            <v>Chad</v>
          </cell>
        </row>
        <row r="36">
          <cell r="A36" t="str">
            <v>Chili</v>
          </cell>
        </row>
        <row r="37">
          <cell r="A37" t="str">
            <v>Denmark</v>
          </cell>
        </row>
        <row r="38">
          <cell r="A38" t="str">
            <v>Djibouti</v>
          </cell>
        </row>
        <row r="39">
          <cell r="A39" t="str">
            <v>Dominika</v>
          </cell>
        </row>
        <row r="40">
          <cell r="A40" t="str">
            <v>Ekuador</v>
          </cell>
        </row>
        <row r="41">
          <cell r="A41" t="str">
            <v>El Salvador</v>
          </cell>
        </row>
        <row r="42">
          <cell r="A42" t="str">
            <v>Eritrea</v>
          </cell>
        </row>
        <row r="43">
          <cell r="A43" t="str">
            <v>Estonia</v>
          </cell>
        </row>
        <row r="44">
          <cell r="A44" t="str">
            <v>Ethiopia</v>
          </cell>
        </row>
        <row r="45">
          <cell r="A45" t="str">
            <v>Federasi Mikronesia</v>
          </cell>
        </row>
        <row r="46">
          <cell r="A46" t="str">
            <v>Fiji</v>
          </cell>
        </row>
        <row r="47">
          <cell r="A47" t="str">
            <v>Filipina</v>
          </cell>
        </row>
        <row r="48">
          <cell r="A48" t="str">
            <v>Finlandia</v>
          </cell>
        </row>
        <row r="49">
          <cell r="A49" t="str">
            <v>Gabon</v>
          </cell>
        </row>
        <row r="50">
          <cell r="A50" t="str">
            <v>Gambia</v>
          </cell>
        </row>
        <row r="51">
          <cell r="A51" t="str">
            <v>Georgia</v>
          </cell>
        </row>
        <row r="52">
          <cell r="A52" t="str">
            <v>Ghana</v>
          </cell>
        </row>
        <row r="53">
          <cell r="A53" t="str">
            <v>Grenada</v>
          </cell>
        </row>
        <row r="54">
          <cell r="A54" t="str">
            <v>Guatemala</v>
          </cell>
        </row>
        <row r="55">
          <cell r="A55" t="str">
            <v>Guinea</v>
          </cell>
        </row>
        <row r="56">
          <cell r="A56" t="str">
            <v>Guinea Khatulistiwa</v>
          </cell>
        </row>
        <row r="57">
          <cell r="A57" t="str">
            <v>Guinea-Bissau</v>
          </cell>
        </row>
        <row r="58">
          <cell r="A58" t="str">
            <v>Guyana</v>
          </cell>
        </row>
        <row r="59">
          <cell r="A59" t="str">
            <v>Haiti</v>
          </cell>
        </row>
        <row r="60">
          <cell r="A60" t="str">
            <v>Honduras</v>
          </cell>
        </row>
        <row r="61">
          <cell r="A61" t="str">
            <v>Hongaria</v>
          </cell>
        </row>
        <row r="62">
          <cell r="A62" t="str">
            <v>India</v>
          </cell>
        </row>
        <row r="63">
          <cell r="A63" t="str">
            <v>Indonesia</v>
          </cell>
        </row>
        <row r="64">
          <cell r="A64" t="str">
            <v>Irak</v>
          </cell>
        </row>
        <row r="65">
          <cell r="A65" t="str">
            <v>Iran</v>
          </cell>
        </row>
        <row r="66">
          <cell r="A66" t="str">
            <v>Irlandia</v>
          </cell>
        </row>
        <row r="67">
          <cell r="A67" t="str">
            <v>Islandia</v>
          </cell>
        </row>
        <row r="68">
          <cell r="A68" t="str">
            <v>Israel</v>
          </cell>
        </row>
        <row r="69">
          <cell r="A69" t="str">
            <v>Italia</v>
          </cell>
        </row>
        <row r="70">
          <cell r="A70" t="str">
            <v>Jamaika</v>
          </cell>
        </row>
        <row r="71">
          <cell r="A71" t="str">
            <v>Jepang</v>
          </cell>
        </row>
        <row r="72">
          <cell r="A72" t="str">
            <v>Jerman</v>
          </cell>
        </row>
        <row r="73">
          <cell r="A73" t="str">
            <v>Kamboja</v>
          </cell>
        </row>
        <row r="74">
          <cell r="A74" t="str">
            <v>Kamerun</v>
          </cell>
        </row>
        <row r="75">
          <cell r="A75" t="str">
            <v>Kanada</v>
          </cell>
        </row>
        <row r="76">
          <cell r="A76" t="str">
            <v>Kazakhstan</v>
          </cell>
        </row>
        <row r="77">
          <cell r="A77" t="str">
            <v>Kenya</v>
          </cell>
        </row>
        <row r="78">
          <cell r="A78" t="str">
            <v>Kepulauan Marshall</v>
          </cell>
        </row>
        <row r="79">
          <cell r="A79" t="str">
            <v>Kepulauan Solomon</v>
          </cell>
        </row>
        <row r="80">
          <cell r="A80" t="str">
            <v>Kirgiztan</v>
          </cell>
        </row>
        <row r="81">
          <cell r="A81" t="str">
            <v>Kiribati</v>
          </cell>
        </row>
        <row r="82">
          <cell r="A82" t="str">
            <v>Kolombia</v>
          </cell>
        </row>
        <row r="83">
          <cell r="A83" t="str">
            <v>Komoro</v>
          </cell>
        </row>
        <row r="84">
          <cell r="A84" t="str">
            <v>Korea Selatan</v>
          </cell>
        </row>
        <row r="85">
          <cell r="A85" t="str">
            <v>Korea Utara</v>
          </cell>
        </row>
        <row r="86">
          <cell r="A86" t="str">
            <v>Kosta Rika</v>
          </cell>
        </row>
        <row r="87">
          <cell r="A87" t="str">
            <v>Kroasia</v>
          </cell>
        </row>
        <row r="88">
          <cell r="A88" t="str">
            <v>Kuba</v>
          </cell>
        </row>
        <row r="89">
          <cell r="A89" t="str">
            <v>Kuwait</v>
          </cell>
        </row>
        <row r="90">
          <cell r="A90" t="str">
            <v>Laos</v>
          </cell>
        </row>
        <row r="91">
          <cell r="A91" t="str">
            <v>Latvia</v>
          </cell>
        </row>
        <row r="92">
          <cell r="A92" t="str">
            <v>Lebanon</v>
          </cell>
        </row>
        <row r="93">
          <cell r="A93" t="str">
            <v>Lesotho</v>
          </cell>
        </row>
        <row r="94">
          <cell r="A94" t="str">
            <v>Liberia</v>
          </cell>
        </row>
        <row r="95">
          <cell r="A95" t="str">
            <v>Libya</v>
          </cell>
        </row>
        <row r="96">
          <cell r="A96" t="str">
            <v>Liechtenstein</v>
          </cell>
        </row>
        <row r="97">
          <cell r="A97" t="str">
            <v>Lituania</v>
          </cell>
        </row>
        <row r="98">
          <cell r="A98" t="str">
            <v>Luksemburg</v>
          </cell>
        </row>
        <row r="99">
          <cell r="A99" t="str">
            <v>Madagaskar</v>
          </cell>
        </row>
        <row r="100">
          <cell r="A100" t="str">
            <v>Maladewa</v>
          </cell>
        </row>
        <row r="101">
          <cell r="A101" t="str">
            <v>Malawi</v>
          </cell>
        </row>
        <row r="102">
          <cell r="A102" t="str">
            <v>Malaysia</v>
          </cell>
        </row>
        <row r="103">
          <cell r="A103" t="str">
            <v>Mali</v>
          </cell>
        </row>
        <row r="104">
          <cell r="A104" t="str">
            <v>Malta</v>
          </cell>
        </row>
        <row r="105">
          <cell r="A105" t="str">
            <v>Maroko</v>
          </cell>
        </row>
        <row r="106">
          <cell r="A106" t="str">
            <v>Mauritania</v>
          </cell>
        </row>
        <row r="107">
          <cell r="A107" t="str">
            <v>Mauritius</v>
          </cell>
        </row>
        <row r="108">
          <cell r="A108" t="str">
            <v>Meksiko</v>
          </cell>
        </row>
        <row r="109">
          <cell r="A109" t="str">
            <v>Mesir</v>
          </cell>
        </row>
        <row r="110">
          <cell r="A110" t="str">
            <v>Moldova</v>
          </cell>
        </row>
        <row r="111">
          <cell r="A111" t="str">
            <v>Monako</v>
          </cell>
        </row>
        <row r="112">
          <cell r="A112" t="str">
            <v>Mongolia</v>
          </cell>
        </row>
        <row r="113">
          <cell r="A113" t="str">
            <v>Montenegro</v>
          </cell>
        </row>
        <row r="114">
          <cell r="A114" t="str">
            <v>Mozambik</v>
          </cell>
        </row>
        <row r="115">
          <cell r="A115" t="str">
            <v>Myanmar (Burma)</v>
          </cell>
        </row>
        <row r="116">
          <cell r="A116" t="str">
            <v>Namibia</v>
          </cell>
        </row>
        <row r="117">
          <cell r="A117" t="str">
            <v>Nauru</v>
          </cell>
        </row>
        <row r="118">
          <cell r="A118" t="str">
            <v>Nepal</v>
          </cell>
        </row>
        <row r="119">
          <cell r="A119" t="str">
            <v>Niger</v>
          </cell>
        </row>
        <row r="120">
          <cell r="A120" t="str">
            <v>Nigeria</v>
          </cell>
        </row>
        <row r="121">
          <cell r="A121" t="str">
            <v>Nikaragua</v>
          </cell>
        </row>
        <row r="122">
          <cell r="A122" t="str">
            <v>Norwegia</v>
          </cell>
        </row>
        <row r="123">
          <cell r="A123" t="str">
            <v>Oman</v>
          </cell>
        </row>
        <row r="124">
          <cell r="A124" t="str">
            <v>Pakistan</v>
          </cell>
        </row>
        <row r="125">
          <cell r="A125" t="str">
            <v>Palau</v>
          </cell>
        </row>
        <row r="126">
          <cell r="A126" t="str">
            <v>Panama</v>
          </cell>
        </row>
        <row r="127">
          <cell r="A127" t="str">
            <v>Pantai Gading</v>
          </cell>
        </row>
        <row r="128">
          <cell r="A128" t="str">
            <v>Papua Nugini</v>
          </cell>
        </row>
        <row r="129">
          <cell r="A129" t="str">
            <v>Paraguay</v>
          </cell>
        </row>
        <row r="130">
          <cell r="A130" t="str">
            <v>Perancis</v>
          </cell>
        </row>
        <row r="131">
          <cell r="A131" t="str">
            <v>Peru</v>
          </cell>
        </row>
        <row r="132">
          <cell r="A132" t="str">
            <v>Polandia</v>
          </cell>
        </row>
        <row r="133">
          <cell r="A133" t="str">
            <v>Portugal</v>
          </cell>
        </row>
        <row r="134">
          <cell r="A134" t="str">
            <v>Qatar</v>
          </cell>
        </row>
        <row r="135">
          <cell r="A135" t="str">
            <v>Republik Afrika Tengah</v>
          </cell>
        </row>
        <row r="136">
          <cell r="A136" t="str">
            <v>Republik Demokratik Kongo</v>
          </cell>
        </row>
        <row r="137">
          <cell r="A137" t="str">
            <v>Republik Dominika</v>
          </cell>
        </row>
        <row r="138">
          <cell r="A138" t="str">
            <v>Republik Kongo</v>
          </cell>
        </row>
        <row r="139">
          <cell r="A139" t="str">
            <v>Republik Makedonia</v>
          </cell>
        </row>
        <row r="140">
          <cell r="A140" t="str">
            <v>Republik Rakyat Cina</v>
          </cell>
        </row>
        <row r="141">
          <cell r="A141" t="str">
            <v>Rumania</v>
          </cell>
        </row>
        <row r="142">
          <cell r="A142" t="str">
            <v>Rusia</v>
          </cell>
        </row>
        <row r="143">
          <cell r="A143" t="str">
            <v>Rwanda</v>
          </cell>
        </row>
        <row r="144">
          <cell r="A144" t="str">
            <v>Saint Kitts dan Nevis</v>
          </cell>
        </row>
        <row r="145">
          <cell r="A145" t="str">
            <v>Saint Lucia</v>
          </cell>
        </row>
        <row r="146">
          <cell r="A146" t="str">
            <v>Saint Vincent dan Grenadines</v>
          </cell>
        </row>
        <row r="147">
          <cell r="A147" t="str">
            <v>Samoa</v>
          </cell>
        </row>
        <row r="148">
          <cell r="A148" t="str">
            <v>San Marino</v>
          </cell>
        </row>
        <row r="149">
          <cell r="A149" t="str">
            <v>Sao Tome dan Principe</v>
          </cell>
        </row>
        <row r="150">
          <cell r="A150" t="str">
            <v>Selandia Baru</v>
          </cell>
        </row>
        <row r="151">
          <cell r="A151" t="str">
            <v>Senegal</v>
          </cell>
        </row>
        <row r="152">
          <cell r="A152" t="str">
            <v>Serbia</v>
          </cell>
        </row>
        <row r="153">
          <cell r="A153" t="str">
            <v>Seychelles</v>
          </cell>
        </row>
        <row r="154">
          <cell r="A154" t="str">
            <v>Sierra Leone</v>
          </cell>
        </row>
        <row r="155">
          <cell r="A155" t="str">
            <v>Singapura</v>
          </cell>
        </row>
        <row r="156">
          <cell r="A156" t="str">
            <v>Siprus</v>
          </cell>
        </row>
        <row r="157">
          <cell r="A157" t="str">
            <v>Slovenia</v>
          </cell>
        </row>
        <row r="158">
          <cell r="A158" t="str">
            <v>Slowakia</v>
          </cell>
        </row>
        <row r="159">
          <cell r="A159" t="str">
            <v>Somalia</v>
          </cell>
        </row>
        <row r="160">
          <cell r="A160" t="str">
            <v>Spanyol</v>
          </cell>
        </row>
        <row r="161">
          <cell r="A161" t="str">
            <v>Sri Lanka</v>
          </cell>
        </row>
        <row r="162">
          <cell r="A162" t="str">
            <v>Sudan</v>
          </cell>
        </row>
        <row r="163">
          <cell r="A163" t="str">
            <v>Suriah</v>
          </cell>
        </row>
        <row r="164">
          <cell r="A164" t="str">
            <v>Suriname</v>
          </cell>
        </row>
        <row r="165">
          <cell r="A165" t="str">
            <v>Swaziland</v>
          </cell>
        </row>
        <row r="166">
          <cell r="A166" t="str">
            <v>Swedia</v>
          </cell>
        </row>
        <row r="167">
          <cell r="A167" t="str">
            <v>Swiss</v>
          </cell>
        </row>
        <row r="168">
          <cell r="A168" t="str">
            <v>Tajikistan</v>
          </cell>
        </row>
        <row r="169">
          <cell r="A169" t="str">
            <v>Tanjung Verde</v>
          </cell>
        </row>
        <row r="170">
          <cell r="A170" t="str">
            <v>Tanzania</v>
          </cell>
        </row>
        <row r="171">
          <cell r="A171" t="str">
            <v>Thailand</v>
          </cell>
        </row>
        <row r="172">
          <cell r="A172" t="str">
            <v>Timor Leste</v>
          </cell>
        </row>
        <row r="173">
          <cell r="A173" t="str">
            <v>Togo</v>
          </cell>
        </row>
        <row r="174">
          <cell r="A174" t="str">
            <v>Tonga</v>
          </cell>
        </row>
        <row r="175">
          <cell r="A175" t="str">
            <v>Trinidad dan Tobago</v>
          </cell>
        </row>
        <row r="176">
          <cell r="A176" t="str">
            <v>Tunisia</v>
          </cell>
        </row>
        <row r="177">
          <cell r="A177" t="str">
            <v>Turki</v>
          </cell>
        </row>
        <row r="178">
          <cell r="A178" t="str">
            <v>Turkmenistan</v>
          </cell>
        </row>
        <row r="179">
          <cell r="A179" t="str">
            <v>Tuvalu</v>
          </cell>
        </row>
        <row r="180">
          <cell r="A180" t="str">
            <v>Uganda</v>
          </cell>
        </row>
        <row r="181">
          <cell r="A181" t="str">
            <v>Ukraina</v>
          </cell>
        </row>
        <row r="182">
          <cell r="A182" t="str">
            <v>Uni Emirat Arab</v>
          </cell>
        </row>
        <row r="183">
          <cell r="A183" t="str">
            <v>Uruguay</v>
          </cell>
        </row>
        <row r="184">
          <cell r="A184" t="str">
            <v>Uzbekistan</v>
          </cell>
        </row>
        <row r="185">
          <cell r="A185" t="str">
            <v>Vanuatu</v>
          </cell>
        </row>
        <row r="186">
          <cell r="A186" t="str">
            <v>Venezuela</v>
          </cell>
        </row>
        <row r="187">
          <cell r="A187" t="str">
            <v>Vietnam</v>
          </cell>
        </row>
        <row r="188">
          <cell r="A188" t="str">
            <v>Yaman</v>
          </cell>
        </row>
        <row r="189">
          <cell r="A189" t="str">
            <v>Yordania</v>
          </cell>
        </row>
        <row r="190">
          <cell r="A190" t="str">
            <v>Yunani</v>
          </cell>
        </row>
        <row r="191">
          <cell r="A191" t="str">
            <v>Zambia</v>
          </cell>
        </row>
        <row r="192">
          <cell r="A192" t="str">
            <v>Zimbabwe</v>
          </cell>
        </row>
        <row r="193">
          <cell r="A193" t="str">
            <v>Others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U18"/>
  <sheetViews>
    <sheetView workbookViewId="0">
      <selection activeCell="E17" sqref="E17"/>
    </sheetView>
  </sheetViews>
  <sheetFormatPr defaultRowHeight="14.5" x14ac:dyDescent="0.35"/>
  <cols>
    <col min="1" max="1" width="6.08984375" customWidth="1"/>
    <col min="4" max="4" width="1.54296875" customWidth="1"/>
    <col min="5" max="5" width="11.36328125" customWidth="1"/>
    <col min="6" max="6" width="12.36328125" customWidth="1"/>
    <col min="10" max="10" width="13.453125" bestFit="1" customWidth="1"/>
    <col min="21" max="21" width="0" hidden="1" customWidth="1"/>
  </cols>
  <sheetData>
    <row r="1" spans="2:21" ht="18.5" x14ac:dyDescent="0.45">
      <c r="B1" s="107" t="s">
        <v>3934</v>
      </c>
      <c r="C1" s="107"/>
      <c r="D1" s="107"/>
      <c r="E1" s="107"/>
      <c r="F1" s="107"/>
      <c r="G1" s="107"/>
      <c r="H1" s="107"/>
    </row>
    <row r="2" spans="2:21" ht="15.75" customHeight="1" x14ac:dyDescent="0.35"/>
    <row r="3" spans="2:21" x14ac:dyDescent="0.35">
      <c r="B3" s="105" t="s">
        <v>1992</v>
      </c>
      <c r="C3" s="105"/>
      <c r="D3" t="s">
        <v>1994</v>
      </c>
      <c r="E3" s="106" t="s">
        <v>3942</v>
      </c>
      <c r="F3" s="106"/>
      <c r="G3" s="68" t="s">
        <v>2321</v>
      </c>
      <c r="U3" s="12" t="s">
        <v>53</v>
      </c>
    </row>
    <row r="4" spans="2:21" x14ac:dyDescent="0.35">
      <c r="B4" s="105" t="s">
        <v>1993</v>
      </c>
      <c r="C4" s="105"/>
      <c r="D4" t="s">
        <v>1994</v>
      </c>
      <c r="E4" s="72" t="s">
        <v>2322</v>
      </c>
      <c r="F4" s="73" t="s">
        <v>2323</v>
      </c>
      <c r="I4" s="74"/>
      <c r="J4" s="80"/>
    </row>
    <row r="5" spans="2:21" x14ac:dyDescent="0.35">
      <c r="E5" s="67">
        <v>2015</v>
      </c>
      <c r="F5" s="93" t="s">
        <v>53</v>
      </c>
      <c r="G5" s="65" t="s">
        <v>2316</v>
      </c>
    </row>
    <row r="6" spans="2:21" x14ac:dyDescent="0.35">
      <c r="J6" s="75"/>
    </row>
    <row r="7" spans="2:21" x14ac:dyDescent="0.35">
      <c r="J7" s="74"/>
    </row>
    <row r="10" spans="2:21" x14ac:dyDescent="0.35">
      <c r="F10" s="63"/>
    </row>
    <row r="11" spans="2:21" x14ac:dyDescent="0.35">
      <c r="F11" s="24"/>
    </row>
    <row r="13" spans="2:21" x14ac:dyDescent="0.35">
      <c r="H13" s="24"/>
    </row>
    <row r="15" spans="2:21" x14ac:dyDescent="0.35">
      <c r="C15" t="s">
        <v>3940</v>
      </c>
    </row>
    <row r="16" spans="2:21" x14ac:dyDescent="0.35">
      <c r="C16" t="s">
        <v>3931</v>
      </c>
      <c r="E16" s="104" t="s">
        <v>3943</v>
      </c>
    </row>
    <row r="17" spans="3:5" x14ac:dyDescent="0.35">
      <c r="C17" t="s">
        <v>3932</v>
      </c>
      <c r="E17" s="104" t="s">
        <v>3943</v>
      </c>
    </row>
    <row r="18" spans="3:5" x14ac:dyDescent="0.35">
      <c r="C18" t="s">
        <v>3933</v>
      </c>
      <c r="E18" s="104" t="s">
        <v>3941</v>
      </c>
    </row>
  </sheetData>
  <mergeCells count="4">
    <mergeCell ref="B3:C3"/>
    <mergeCell ref="B4:C4"/>
    <mergeCell ref="E3:F3"/>
    <mergeCell ref="B1:H1"/>
  </mergeCells>
  <dataValidations count="6">
    <dataValidation type="list" allowBlank="1" showInputMessage="1" showErrorMessage="1" errorTitle="Data Invalid" error="Data tidak valid !" sqref="E5">
      <formula1>THN</formula1>
    </dataValidation>
    <dataValidation type="list" allowBlank="1" showInputMessage="1" showErrorMessage="1" errorTitle="Data Invalid" error="Data tidak valid !" sqref="F5">
      <formula1>BLN</formula1>
    </dataValidation>
    <dataValidation type="textLength" operator="equal" allowBlank="1" showInputMessage="1" showErrorMessage="1" errorTitle="Data Invalid" error="Sandi Pelapor Harus 9 Digit dan harus berupa angka !" sqref="E3:F3">
      <formula1>9</formula1>
    </dataValidation>
    <dataValidation showInputMessage="1" showErrorMessage="1" sqref="J6"/>
    <dataValidation type="whole" allowBlank="1" showInputMessage="1" showErrorMessage="1" sqref="J4">
      <formula1>9</formula1>
      <formula2>999999999</formula2>
    </dataValidation>
    <dataValidation type="textLength" operator="equal" allowBlank="1" showInputMessage="1" showErrorMessage="1" sqref="J7">
      <formula1>9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897"/>
  <sheetViews>
    <sheetView topLeftCell="C1" zoomScale="90" zoomScaleNormal="90" workbookViewId="0">
      <selection activeCell="J6" sqref="J6"/>
    </sheetView>
  </sheetViews>
  <sheetFormatPr defaultRowHeight="14.5" x14ac:dyDescent="0.35"/>
  <cols>
    <col min="1" max="1" width="4.54296875" customWidth="1"/>
    <col min="2" max="2" width="29.36328125" customWidth="1"/>
    <col min="3" max="3" width="19" customWidth="1"/>
    <col min="4" max="4" width="27.453125" customWidth="1"/>
    <col min="5" max="5" width="30.08984375" customWidth="1"/>
    <col min="6" max="6" width="24.36328125" customWidth="1"/>
    <col min="7" max="7" width="22.90625" customWidth="1"/>
    <col min="8" max="8" width="24.08984375" customWidth="1"/>
    <col min="9" max="9" width="111.90625" hidden="1" customWidth="1"/>
    <col min="10" max="10" width="15" customWidth="1"/>
    <col min="11" max="12" width="9.08984375" customWidth="1"/>
    <col min="13" max="13" width="38.453125" bestFit="1" customWidth="1"/>
  </cols>
  <sheetData>
    <row r="1" spans="1:13" ht="27.75" customHeight="1" x14ac:dyDescent="0.35">
      <c r="B1" s="87"/>
      <c r="C1" s="87" t="s">
        <v>3923</v>
      </c>
      <c r="D1" s="87"/>
      <c r="E1" s="87"/>
      <c r="F1" s="87"/>
      <c r="G1" s="87"/>
      <c r="H1" s="87"/>
      <c r="I1" s="87"/>
    </row>
    <row r="2" spans="1:13" ht="15" hidden="1" customHeight="1" x14ac:dyDescent="0.35">
      <c r="A2" s="91">
        <f>ROW()-6</f>
        <v>-4</v>
      </c>
      <c r="B2" s="98"/>
      <c r="C2" s="98"/>
      <c r="D2" s="98"/>
      <c r="E2" s="98"/>
      <c r="F2" s="90"/>
      <c r="G2" s="100"/>
      <c r="H2" s="92"/>
      <c r="I2" s="5" t="str">
        <f>LEFT(TRIM(B2)&amp;REPT(" ",4),4)&amp;LEFT(TRIM(C2)&amp;REPT(" ",2),2)&amp;LEFT(TRIM(D2)&amp;REPT(" ",50),50)&amp;LEFT(TRIM(E2)&amp;REPT(" ",50),50)&amp;RIGHT(REPT("0",12)&amp;F2,12)&amp;RIGHT(REPT("0",15)&amp;G2,15)&amp;LEFT(H2,1)</f>
        <v xml:space="preserve">                                                                                                          000000000000000000000000000</v>
      </c>
      <c r="J2" s="53" t="s">
        <v>984</v>
      </c>
    </row>
    <row r="3" spans="1:13" x14ac:dyDescent="0.35">
      <c r="B3" s="66" t="s">
        <v>0</v>
      </c>
      <c r="C3" s="76" t="str">
        <f>'LTDBB Header'!E3</f>
        <v>799999995</v>
      </c>
      <c r="J3" s="1" t="s">
        <v>975</v>
      </c>
      <c r="K3" s="1" t="s">
        <v>3931</v>
      </c>
      <c r="M3" t="str">
        <f>RIGHT(REPT("0",4)&amp;'LTDBB Header'!E5,4)&amp;RIGHT(REPT("0",2)&amp;'LTDBB Header'!F5,2)&amp;RIGHT(REPT("0",4)&amp;K3,4)</f>
        <v>2015010001</v>
      </c>
    </row>
    <row r="4" spans="1:13" x14ac:dyDescent="0.35">
      <c r="B4" s="66" t="s">
        <v>2326</v>
      </c>
      <c r="C4" s="70" t="s">
        <v>2322</v>
      </c>
      <c r="D4" s="70" t="s">
        <v>2323</v>
      </c>
      <c r="J4" s="1" t="s">
        <v>3937</v>
      </c>
      <c r="K4">
        <f>COUNTA($A$8:$A$65526)</f>
        <v>0</v>
      </c>
      <c r="M4" t="str">
        <f>RIGHT(REPT("0",9)&amp;'LTDBB Header'!E3,9)&amp;K5&amp;RIGHT(REPT("0",4)&amp;'LTDBB Header'!E5,4)&amp;RIGHT(REPT("0",2)&amp;'LTDBB Header'!F5,2)&amp;"01"&amp;K3&amp;RIGHT(REPT("0",9)&amp;K4,9)</f>
        <v>799999995M20150101G0001000000000</v>
      </c>
    </row>
    <row r="5" spans="1:13" ht="15" thickBot="1" x14ac:dyDescent="0.4">
      <c r="C5" s="69">
        <f>'LTDBB Header'!E5</f>
        <v>2015</v>
      </c>
      <c r="D5" s="88" t="str">
        <f>'LTDBB Header'!F5</f>
        <v>01</v>
      </c>
      <c r="J5" s="1" t="s">
        <v>976</v>
      </c>
      <c r="K5" s="1" t="s">
        <v>1</v>
      </c>
    </row>
    <row r="6" spans="1:13" ht="26" x14ac:dyDescent="0.35">
      <c r="A6" s="30" t="s">
        <v>2</v>
      </c>
      <c r="B6" s="30" t="s">
        <v>3913</v>
      </c>
      <c r="C6" s="30" t="s">
        <v>3914</v>
      </c>
      <c r="D6" s="30" t="s">
        <v>3915</v>
      </c>
      <c r="E6" s="30" t="s">
        <v>3916</v>
      </c>
      <c r="F6" s="30" t="s">
        <v>3927</v>
      </c>
      <c r="G6" s="30" t="s">
        <v>3917</v>
      </c>
      <c r="H6" s="30" t="s">
        <v>3918</v>
      </c>
      <c r="I6" s="23" t="s">
        <v>3935</v>
      </c>
      <c r="J6" s="94" t="s">
        <v>3936</v>
      </c>
    </row>
    <row r="7" spans="1:13" ht="15" customHeight="1" x14ac:dyDescent="0.35"/>
    <row r="8" spans="1:13" ht="15" customHeight="1" x14ac:dyDescent="0.35">
      <c r="B8" s="25"/>
      <c r="C8" s="4"/>
      <c r="D8" s="5"/>
      <c r="E8" s="5"/>
      <c r="F8" s="5"/>
      <c r="G8" s="5"/>
      <c r="H8" s="5"/>
    </row>
    <row r="9" spans="1:13" ht="15" customHeight="1" x14ac:dyDescent="0.35">
      <c r="B9" s="25"/>
      <c r="C9" s="4"/>
      <c r="D9" s="5"/>
      <c r="E9" s="5"/>
      <c r="F9" s="5"/>
      <c r="G9" s="5"/>
      <c r="H9" s="5"/>
    </row>
    <row r="10" spans="1:13" ht="15" customHeight="1" x14ac:dyDescent="0.35">
      <c r="B10" s="25"/>
      <c r="C10" s="4"/>
      <c r="D10" s="5"/>
      <c r="E10" s="5"/>
      <c r="F10" s="5"/>
      <c r="G10" s="5"/>
      <c r="H10" s="5"/>
    </row>
    <row r="11" spans="1:13" ht="15" customHeight="1" x14ac:dyDescent="0.35">
      <c r="B11" s="25"/>
      <c r="C11" s="4"/>
      <c r="D11" s="5"/>
      <c r="E11" s="5"/>
      <c r="F11" s="5"/>
      <c r="G11" s="5"/>
      <c r="H11" s="5"/>
    </row>
    <row r="12" spans="1:13" ht="15" customHeight="1" x14ac:dyDescent="0.35">
      <c r="B12" s="25"/>
      <c r="C12" s="4"/>
      <c r="D12" s="5"/>
      <c r="E12" s="5"/>
      <c r="F12" s="5"/>
      <c r="G12" s="5"/>
      <c r="H12" s="5"/>
    </row>
    <row r="13" spans="1:13" ht="15" customHeight="1" x14ac:dyDescent="0.35">
      <c r="B13" s="25"/>
      <c r="C13" s="4"/>
      <c r="D13" s="5"/>
      <c r="E13" s="5"/>
      <c r="F13" s="5"/>
      <c r="G13" s="5"/>
      <c r="H13" s="5"/>
    </row>
    <row r="14" spans="1:13" ht="15" customHeight="1" x14ac:dyDescent="0.35">
      <c r="B14" s="25"/>
      <c r="C14" s="4"/>
      <c r="D14" s="5"/>
      <c r="E14" s="5"/>
      <c r="F14" s="5"/>
      <c r="G14" s="5"/>
      <c r="H14" s="5"/>
    </row>
    <row r="15" spans="1:13" ht="15" customHeight="1" x14ac:dyDescent="0.35">
      <c r="B15" s="25"/>
      <c r="C15" s="4"/>
      <c r="D15" s="5"/>
      <c r="E15" s="5"/>
      <c r="F15" s="5"/>
      <c r="G15" s="5"/>
      <c r="H15" s="5"/>
    </row>
    <row r="16" spans="1:13" ht="15" customHeight="1" x14ac:dyDescent="0.35">
      <c r="B16" s="25"/>
      <c r="C16" s="4"/>
      <c r="D16" s="5"/>
      <c r="E16" s="5"/>
      <c r="F16" s="5"/>
      <c r="G16" s="5"/>
      <c r="H16" s="5"/>
    </row>
    <row r="17" spans="2:8" ht="15" customHeight="1" x14ac:dyDescent="0.35">
      <c r="B17" s="25"/>
      <c r="C17" s="4"/>
      <c r="D17" s="5"/>
      <c r="E17" s="5"/>
      <c r="F17" s="5"/>
      <c r="G17" s="5"/>
      <c r="H17" s="5"/>
    </row>
    <row r="18" spans="2:8" ht="15" customHeight="1" x14ac:dyDescent="0.35">
      <c r="B18" s="25"/>
      <c r="C18" s="4"/>
      <c r="D18" s="5"/>
      <c r="E18" s="5"/>
      <c r="F18" s="5"/>
      <c r="G18" s="5"/>
      <c r="H18" s="5"/>
    </row>
    <row r="19" spans="2:8" x14ac:dyDescent="0.35">
      <c r="B19" s="25"/>
      <c r="C19" s="4"/>
      <c r="D19" s="5"/>
      <c r="E19" s="5"/>
      <c r="F19" s="5"/>
      <c r="G19" s="5"/>
      <c r="H19" s="5"/>
    </row>
    <row r="20" spans="2:8" x14ac:dyDescent="0.35">
      <c r="B20" s="25"/>
      <c r="C20" s="4"/>
      <c r="D20" s="5"/>
      <c r="E20" s="5"/>
      <c r="F20" s="5"/>
      <c r="G20" s="5"/>
      <c r="H20" s="5"/>
    </row>
    <row r="21" spans="2:8" x14ac:dyDescent="0.35">
      <c r="B21" s="25"/>
      <c r="C21" s="4"/>
      <c r="D21" s="5"/>
      <c r="E21" s="5"/>
      <c r="F21" s="5"/>
      <c r="G21" s="5"/>
      <c r="H21" s="5"/>
    </row>
    <row r="22" spans="2:8" x14ac:dyDescent="0.35">
      <c r="B22" s="25"/>
      <c r="C22" s="4"/>
      <c r="D22" s="5"/>
      <c r="E22" s="5"/>
      <c r="F22" s="5"/>
      <c r="G22" s="5"/>
      <c r="H22" s="5"/>
    </row>
    <row r="23" spans="2:8" x14ac:dyDescent="0.35">
      <c r="B23" s="25"/>
      <c r="C23" s="4"/>
      <c r="D23" s="5"/>
      <c r="E23" s="5"/>
      <c r="F23" s="5"/>
      <c r="G23" s="5"/>
      <c r="H23" s="5"/>
    </row>
    <row r="24" spans="2:8" x14ac:dyDescent="0.35">
      <c r="B24" s="25"/>
      <c r="C24" s="4"/>
      <c r="D24" s="5"/>
      <c r="E24" s="5"/>
      <c r="F24" s="5"/>
      <c r="G24" s="5"/>
      <c r="H24" s="5"/>
    </row>
    <row r="25" spans="2:8" x14ac:dyDescent="0.35">
      <c r="B25" s="25"/>
      <c r="C25" s="4"/>
      <c r="D25" s="5"/>
      <c r="E25" s="5"/>
      <c r="F25" s="5"/>
      <c r="G25" s="5"/>
      <c r="H25" s="5"/>
    </row>
    <row r="26" spans="2:8" x14ac:dyDescent="0.35">
      <c r="B26" s="25"/>
      <c r="C26" s="4"/>
      <c r="D26" s="5"/>
      <c r="E26" s="5"/>
      <c r="F26" s="5"/>
      <c r="G26" s="5"/>
      <c r="H26" s="5"/>
    </row>
    <row r="27" spans="2:8" x14ac:dyDescent="0.35">
      <c r="B27" s="25"/>
      <c r="C27" s="4"/>
      <c r="D27" s="5"/>
      <c r="E27" s="5"/>
      <c r="F27" s="5"/>
      <c r="G27" s="5"/>
      <c r="H27" s="5"/>
    </row>
    <row r="28" spans="2:8" x14ac:dyDescent="0.35">
      <c r="B28" s="25"/>
      <c r="C28" s="4"/>
      <c r="D28" s="5"/>
      <c r="E28" s="5"/>
      <c r="F28" s="5"/>
      <c r="G28" s="5"/>
      <c r="H28" s="5"/>
    </row>
    <row r="29" spans="2:8" x14ac:dyDescent="0.35">
      <c r="B29" s="25"/>
      <c r="C29" s="4"/>
      <c r="D29" s="5"/>
      <c r="E29" s="5"/>
      <c r="F29" s="5"/>
      <c r="G29" s="5"/>
      <c r="H29" s="5"/>
    </row>
    <row r="30" spans="2:8" x14ac:dyDescent="0.35">
      <c r="B30" s="25"/>
      <c r="C30" s="4"/>
      <c r="D30" s="5"/>
      <c r="E30" s="5"/>
      <c r="F30" s="5"/>
      <c r="G30" s="5"/>
      <c r="H30" s="5"/>
    </row>
    <row r="31" spans="2:8" x14ac:dyDescent="0.35">
      <c r="B31" s="25"/>
      <c r="C31" s="4"/>
      <c r="D31" s="5"/>
      <c r="E31" s="5"/>
      <c r="F31" s="5"/>
      <c r="G31" s="5"/>
      <c r="H31" s="5"/>
    </row>
    <row r="32" spans="2:8" x14ac:dyDescent="0.35">
      <c r="B32" s="25"/>
      <c r="C32" s="4"/>
      <c r="D32" s="5"/>
      <c r="E32" s="5"/>
      <c r="F32" s="5"/>
      <c r="G32" s="5"/>
      <c r="H32" s="5"/>
    </row>
    <row r="33" spans="2:8" x14ac:dyDescent="0.35">
      <c r="B33" s="25"/>
      <c r="C33" s="4"/>
      <c r="D33" s="5"/>
      <c r="E33" s="5"/>
      <c r="F33" s="5"/>
      <c r="G33" s="5"/>
      <c r="H33" s="5"/>
    </row>
    <row r="34" spans="2:8" x14ac:dyDescent="0.35">
      <c r="B34" s="25"/>
      <c r="C34" s="4"/>
      <c r="D34" s="5"/>
      <c r="E34" s="5"/>
      <c r="F34" s="5"/>
      <c r="G34" s="5"/>
      <c r="H34" s="5"/>
    </row>
    <row r="35" spans="2:8" x14ac:dyDescent="0.35">
      <c r="B35" s="25"/>
      <c r="C35" s="4"/>
      <c r="D35" s="5"/>
      <c r="E35" s="5"/>
      <c r="F35" s="5"/>
      <c r="G35" s="5"/>
      <c r="H35" s="5"/>
    </row>
    <row r="36" spans="2:8" x14ac:dyDescent="0.35">
      <c r="B36" s="25"/>
      <c r="C36" s="4"/>
      <c r="D36" s="5"/>
      <c r="E36" s="5"/>
      <c r="F36" s="5"/>
      <c r="G36" s="5"/>
      <c r="H36" s="5"/>
    </row>
    <row r="37" spans="2:8" x14ac:dyDescent="0.35">
      <c r="B37" s="25"/>
      <c r="C37" s="4"/>
      <c r="D37" s="5"/>
      <c r="E37" s="5"/>
      <c r="F37" s="5"/>
      <c r="G37" s="5"/>
      <c r="H37" s="5"/>
    </row>
    <row r="38" spans="2:8" x14ac:dyDescent="0.35">
      <c r="B38" s="25"/>
      <c r="C38" s="4"/>
      <c r="D38" s="5"/>
      <c r="E38" s="5"/>
      <c r="F38" s="5"/>
      <c r="G38" s="5"/>
      <c r="H38" s="5"/>
    </row>
    <row r="39" spans="2:8" x14ac:dyDescent="0.35">
      <c r="B39" s="25"/>
      <c r="C39" s="4"/>
      <c r="D39" s="5"/>
      <c r="E39" s="5"/>
      <c r="F39" s="5"/>
      <c r="G39" s="5"/>
      <c r="H39" s="5"/>
    </row>
    <row r="40" spans="2:8" x14ac:dyDescent="0.35">
      <c r="B40" s="25"/>
      <c r="C40" s="4"/>
      <c r="D40" s="5"/>
      <c r="E40" s="5"/>
      <c r="F40" s="5"/>
      <c r="G40" s="5"/>
      <c r="H40" s="5"/>
    </row>
    <row r="41" spans="2:8" x14ac:dyDescent="0.35">
      <c r="B41" s="25"/>
      <c r="C41" s="4"/>
      <c r="D41" s="5"/>
      <c r="E41" s="5"/>
      <c r="F41" s="5"/>
      <c r="G41" s="5"/>
      <c r="H41" s="5"/>
    </row>
    <row r="42" spans="2:8" x14ac:dyDescent="0.35">
      <c r="B42" s="25"/>
      <c r="C42" s="4"/>
      <c r="D42" s="5"/>
      <c r="E42" s="5"/>
      <c r="F42" s="5"/>
      <c r="G42" s="5"/>
      <c r="H42" s="5"/>
    </row>
    <row r="43" spans="2:8" x14ac:dyDescent="0.35">
      <c r="B43" s="25"/>
      <c r="C43" s="4"/>
      <c r="D43" s="5"/>
      <c r="E43" s="5"/>
      <c r="F43" s="5"/>
      <c r="G43" s="5"/>
      <c r="H43" s="5"/>
    </row>
    <row r="44" spans="2:8" x14ac:dyDescent="0.35">
      <c r="B44" s="25"/>
      <c r="C44" s="4"/>
      <c r="D44" s="5"/>
      <c r="E44" s="5"/>
      <c r="F44" s="5"/>
      <c r="G44" s="5"/>
      <c r="H44" s="5"/>
    </row>
    <row r="45" spans="2:8" x14ac:dyDescent="0.35">
      <c r="B45" s="25"/>
      <c r="C45" s="4"/>
      <c r="D45" s="5"/>
      <c r="E45" s="5"/>
      <c r="F45" s="5"/>
      <c r="G45" s="5"/>
      <c r="H45" s="5"/>
    </row>
    <row r="46" spans="2:8" x14ac:dyDescent="0.35">
      <c r="B46" s="25"/>
      <c r="C46" s="4"/>
      <c r="D46" s="5"/>
      <c r="E46" s="5"/>
      <c r="F46" s="5"/>
      <c r="G46" s="5"/>
      <c r="H46" s="5"/>
    </row>
    <row r="47" spans="2:8" x14ac:dyDescent="0.35">
      <c r="B47" s="25"/>
      <c r="C47" s="4"/>
      <c r="D47" s="5"/>
      <c r="E47" s="5"/>
      <c r="F47" s="5"/>
      <c r="G47" s="5"/>
      <c r="H47" s="5"/>
    </row>
    <row r="48" spans="2:8" x14ac:dyDescent="0.35">
      <c r="B48" s="25"/>
      <c r="C48" s="4"/>
      <c r="D48" s="5"/>
      <c r="E48" s="5"/>
      <c r="F48" s="5"/>
      <c r="G48" s="5"/>
      <c r="H48" s="5"/>
    </row>
    <row r="49" spans="2:8" x14ac:dyDescent="0.35">
      <c r="B49" s="25"/>
      <c r="C49" s="4"/>
      <c r="D49" s="5"/>
      <c r="E49" s="5"/>
      <c r="F49" s="5"/>
      <c r="G49" s="5"/>
      <c r="H49" s="5"/>
    </row>
    <row r="50" spans="2:8" x14ac:dyDescent="0.35">
      <c r="B50" s="25"/>
      <c r="C50" s="4"/>
      <c r="D50" s="5"/>
      <c r="E50" s="5"/>
      <c r="F50" s="5"/>
      <c r="G50" s="5"/>
      <c r="H50" s="5"/>
    </row>
    <row r="51" spans="2:8" x14ac:dyDescent="0.35">
      <c r="B51" s="25"/>
      <c r="C51" s="4"/>
      <c r="D51" s="5"/>
      <c r="E51" s="5"/>
      <c r="F51" s="5"/>
      <c r="G51" s="5"/>
      <c r="H51" s="5"/>
    </row>
    <row r="52" spans="2:8" x14ac:dyDescent="0.35">
      <c r="B52" s="25"/>
      <c r="C52" s="4"/>
      <c r="D52" s="5"/>
      <c r="E52" s="5"/>
      <c r="F52" s="5"/>
      <c r="G52" s="5"/>
      <c r="H52" s="5"/>
    </row>
    <row r="53" spans="2:8" x14ac:dyDescent="0.35">
      <c r="B53" s="25"/>
      <c r="C53" s="4"/>
      <c r="D53" s="5"/>
      <c r="E53" s="5"/>
      <c r="F53" s="5"/>
      <c r="G53" s="5"/>
      <c r="H53" s="5"/>
    </row>
    <row r="54" spans="2:8" x14ac:dyDescent="0.35">
      <c r="B54" s="25"/>
      <c r="C54" s="4"/>
      <c r="D54" s="5"/>
      <c r="E54" s="5"/>
      <c r="F54" s="5"/>
      <c r="G54" s="5"/>
      <c r="H54" s="5"/>
    </row>
    <row r="55" spans="2:8" x14ac:dyDescent="0.35">
      <c r="B55" s="25"/>
      <c r="C55" s="4"/>
      <c r="D55" s="5"/>
      <c r="E55" s="5"/>
      <c r="F55" s="5"/>
      <c r="G55" s="5"/>
      <c r="H55" s="5"/>
    </row>
    <row r="56" spans="2:8" x14ac:dyDescent="0.35">
      <c r="B56" s="25"/>
      <c r="C56" s="4"/>
      <c r="D56" s="5"/>
      <c r="E56" s="5"/>
      <c r="F56" s="5"/>
      <c r="G56" s="5"/>
      <c r="H56" s="5"/>
    </row>
    <row r="57" spans="2:8" x14ac:dyDescent="0.35">
      <c r="B57" s="25"/>
      <c r="C57" s="4"/>
      <c r="D57" s="5"/>
      <c r="E57" s="5"/>
      <c r="F57" s="5"/>
      <c r="G57" s="5"/>
      <c r="H57" s="5"/>
    </row>
    <row r="58" spans="2:8" x14ac:dyDescent="0.35">
      <c r="B58" s="25"/>
      <c r="C58" s="4"/>
      <c r="D58" s="5"/>
      <c r="E58" s="5"/>
      <c r="F58" s="5"/>
      <c r="G58" s="5"/>
      <c r="H58" s="5"/>
    </row>
    <row r="59" spans="2:8" x14ac:dyDescent="0.35">
      <c r="B59" s="25"/>
      <c r="C59" s="4"/>
      <c r="D59" s="5"/>
      <c r="E59" s="5"/>
      <c r="F59" s="5"/>
      <c r="G59" s="5"/>
      <c r="H59" s="5"/>
    </row>
    <row r="60" spans="2:8" x14ac:dyDescent="0.35">
      <c r="B60" s="25"/>
      <c r="C60" s="4"/>
      <c r="D60" s="5"/>
      <c r="E60" s="5"/>
      <c r="F60" s="5"/>
      <c r="G60" s="5"/>
      <c r="H60" s="5"/>
    </row>
    <row r="61" spans="2:8" x14ac:dyDescent="0.35">
      <c r="B61" s="25"/>
      <c r="C61" s="4"/>
      <c r="D61" s="5"/>
      <c r="E61" s="5"/>
      <c r="F61" s="5"/>
      <c r="G61" s="5"/>
      <c r="H61" s="5"/>
    </row>
    <row r="62" spans="2:8" x14ac:dyDescent="0.35">
      <c r="B62" s="25"/>
      <c r="C62" s="4"/>
      <c r="D62" s="5"/>
      <c r="E62" s="5"/>
      <c r="F62" s="5"/>
      <c r="G62" s="5"/>
      <c r="H62" s="5"/>
    </row>
    <row r="63" spans="2:8" x14ac:dyDescent="0.35">
      <c r="B63" s="25"/>
      <c r="C63" s="4"/>
      <c r="D63" s="5"/>
      <c r="E63" s="5"/>
      <c r="F63" s="5"/>
      <c r="G63" s="5"/>
      <c r="H63" s="5"/>
    </row>
    <row r="64" spans="2:8" x14ac:dyDescent="0.35">
      <c r="B64" s="25"/>
      <c r="C64" s="4"/>
      <c r="D64" s="5"/>
      <c r="E64" s="5"/>
      <c r="F64" s="5"/>
      <c r="G64" s="5"/>
      <c r="H64" s="5"/>
    </row>
    <row r="65" spans="2:8" x14ac:dyDescent="0.35">
      <c r="B65" s="25"/>
      <c r="C65" s="4"/>
      <c r="D65" s="5"/>
      <c r="E65" s="5"/>
      <c r="F65" s="5"/>
      <c r="G65" s="5"/>
      <c r="H65" s="5"/>
    </row>
    <row r="66" spans="2:8" x14ac:dyDescent="0.35">
      <c r="B66" s="25"/>
      <c r="C66" s="4"/>
      <c r="D66" s="5"/>
      <c r="E66" s="5"/>
      <c r="F66" s="5"/>
      <c r="G66" s="5"/>
      <c r="H66" s="5"/>
    </row>
    <row r="67" spans="2:8" x14ac:dyDescent="0.35">
      <c r="B67" s="25"/>
      <c r="C67" s="4"/>
      <c r="D67" s="5"/>
      <c r="E67" s="5"/>
      <c r="F67" s="5"/>
      <c r="G67" s="5"/>
      <c r="H67" s="5"/>
    </row>
    <row r="68" spans="2:8" x14ac:dyDescent="0.35">
      <c r="B68" s="25"/>
      <c r="C68" s="4"/>
      <c r="D68" s="5"/>
      <c r="E68" s="5"/>
      <c r="F68" s="5"/>
      <c r="G68" s="5"/>
      <c r="H68" s="5"/>
    </row>
    <row r="69" spans="2:8" x14ac:dyDescent="0.35">
      <c r="B69" s="25"/>
      <c r="C69" s="4"/>
      <c r="D69" s="5"/>
      <c r="E69" s="5"/>
      <c r="F69" s="5"/>
      <c r="G69" s="5"/>
      <c r="H69" s="5"/>
    </row>
    <row r="70" spans="2:8" x14ac:dyDescent="0.35">
      <c r="B70" s="25"/>
      <c r="C70" s="4"/>
      <c r="D70" s="5"/>
      <c r="E70" s="5"/>
      <c r="F70" s="5"/>
      <c r="G70" s="5"/>
      <c r="H70" s="5"/>
    </row>
    <row r="71" spans="2:8" x14ac:dyDescent="0.35">
      <c r="B71" s="25"/>
      <c r="C71" s="4"/>
      <c r="D71" s="5"/>
      <c r="E71" s="5"/>
      <c r="F71" s="5"/>
      <c r="G71" s="5"/>
      <c r="H71" s="5"/>
    </row>
    <row r="72" spans="2:8" x14ac:dyDescent="0.35">
      <c r="B72" s="25"/>
      <c r="C72" s="4"/>
      <c r="D72" s="5"/>
      <c r="E72" s="5"/>
      <c r="F72" s="5"/>
      <c r="G72" s="5"/>
      <c r="H72" s="5"/>
    </row>
    <row r="73" spans="2:8" x14ac:dyDescent="0.35">
      <c r="B73" s="25"/>
      <c r="C73" s="4"/>
      <c r="D73" s="5"/>
      <c r="E73" s="5"/>
      <c r="F73" s="5"/>
      <c r="G73" s="5"/>
      <c r="H73" s="5"/>
    </row>
    <row r="74" spans="2:8" x14ac:dyDescent="0.35">
      <c r="B74" s="25"/>
      <c r="C74" s="4"/>
      <c r="D74" s="5"/>
      <c r="E74" s="5"/>
      <c r="F74" s="5"/>
      <c r="G74" s="5"/>
      <c r="H74" s="5"/>
    </row>
    <row r="75" spans="2:8" x14ac:dyDescent="0.35">
      <c r="B75" s="25"/>
      <c r="C75" s="4"/>
      <c r="D75" s="5"/>
      <c r="E75" s="5"/>
      <c r="F75" s="5"/>
      <c r="G75" s="5"/>
      <c r="H75" s="5"/>
    </row>
    <row r="76" spans="2:8" x14ac:dyDescent="0.35">
      <c r="B76" s="25"/>
      <c r="C76" s="4"/>
      <c r="D76" s="5"/>
      <c r="E76" s="5"/>
      <c r="F76" s="5"/>
      <c r="G76" s="5"/>
      <c r="H76" s="5"/>
    </row>
    <row r="77" spans="2:8" x14ac:dyDescent="0.35">
      <c r="B77" s="25"/>
      <c r="C77" s="4"/>
      <c r="D77" s="5"/>
      <c r="E77" s="5"/>
      <c r="F77" s="5"/>
      <c r="G77" s="5"/>
      <c r="H77" s="5"/>
    </row>
    <row r="78" spans="2:8" x14ac:dyDescent="0.35">
      <c r="B78" s="25"/>
      <c r="C78" s="4"/>
      <c r="D78" s="5"/>
      <c r="E78" s="5"/>
      <c r="F78" s="5"/>
      <c r="G78" s="5"/>
      <c r="H78" s="5"/>
    </row>
    <row r="79" spans="2:8" x14ac:dyDescent="0.35">
      <c r="B79" s="25"/>
      <c r="C79" s="4"/>
      <c r="D79" s="5"/>
      <c r="E79" s="5"/>
      <c r="F79" s="5"/>
      <c r="G79" s="5"/>
      <c r="H79" s="5"/>
    </row>
    <row r="80" spans="2:8" x14ac:dyDescent="0.35">
      <c r="B80" s="25"/>
      <c r="C80" s="4"/>
      <c r="D80" s="5"/>
      <c r="E80" s="5"/>
      <c r="F80" s="5"/>
      <c r="G80" s="5"/>
      <c r="H80" s="5"/>
    </row>
    <row r="81" spans="2:8" x14ac:dyDescent="0.35">
      <c r="B81" s="25"/>
      <c r="C81" s="4"/>
      <c r="D81" s="5"/>
      <c r="E81" s="5"/>
      <c r="F81" s="5"/>
      <c r="G81" s="5"/>
      <c r="H81" s="5"/>
    </row>
    <row r="82" spans="2:8" x14ac:dyDescent="0.35">
      <c r="B82" s="25"/>
      <c r="C82" s="4"/>
      <c r="D82" s="5"/>
      <c r="E82" s="5"/>
      <c r="F82" s="5"/>
      <c r="G82" s="5"/>
      <c r="H82" s="5"/>
    </row>
    <row r="83" spans="2:8" x14ac:dyDescent="0.35">
      <c r="B83" s="25"/>
      <c r="C83" s="4"/>
      <c r="D83" s="5"/>
      <c r="E83" s="5"/>
      <c r="F83" s="5"/>
      <c r="G83" s="5"/>
      <c r="H83" s="5"/>
    </row>
    <row r="84" spans="2:8" x14ac:dyDescent="0.35">
      <c r="B84" s="25"/>
      <c r="C84" s="4"/>
      <c r="D84" s="5"/>
      <c r="E84" s="5"/>
      <c r="F84" s="5"/>
      <c r="G84" s="5"/>
      <c r="H84" s="5"/>
    </row>
    <row r="85" spans="2:8" x14ac:dyDescent="0.35">
      <c r="B85" s="25"/>
      <c r="C85" s="4"/>
      <c r="D85" s="5"/>
      <c r="E85" s="5"/>
      <c r="F85" s="5"/>
      <c r="G85" s="5"/>
      <c r="H85" s="5"/>
    </row>
    <row r="86" spans="2:8" x14ac:dyDescent="0.35">
      <c r="B86" s="25"/>
      <c r="C86" s="4"/>
      <c r="D86" s="5"/>
      <c r="E86" s="5"/>
      <c r="F86" s="5"/>
      <c r="G86" s="5"/>
      <c r="H86" s="5"/>
    </row>
    <row r="87" spans="2:8" x14ac:dyDescent="0.35">
      <c r="B87" s="25"/>
      <c r="C87" s="4"/>
      <c r="D87" s="5"/>
      <c r="E87" s="5"/>
      <c r="F87" s="5"/>
      <c r="G87" s="5"/>
      <c r="H87" s="5"/>
    </row>
    <row r="88" spans="2:8" x14ac:dyDescent="0.35">
      <c r="B88" s="25"/>
      <c r="C88" s="4"/>
      <c r="D88" s="5"/>
      <c r="E88" s="5"/>
      <c r="F88" s="5"/>
      <c r="G88" s="5"/>
      <c r="H88" s="5"/>
    </row>
    <row r="89" spans="2:8" x14ac:dyDescent="0.35">
      <c r="B89" s="25"/>
      <c r="C89" s="4"/>
      <c r="D89" s="5"/>
      <c r="E89" s="5"/>
      <c r="F89" s="5"/>
      <c r="G89" s="5"/>
      <c r="H89" s="5"/>
    </row>
    <row r="90" spans="2:8" x14ac:dyDescent="0.35">
      <c r="B90" s="25"/>
      <c r="C90" s="4"/>
      <c r="D90" s="5"/>
      <c r="E90" s="5"/>
      <c r="F90" s="5"/>
      <c r="G90" s="5"/>
      <c r="H90" s="5"/>
    </row>
    <row r="91" spans="2:8" x14ac:dyDescent="0.35">
      <c r="B91" s="25"/>
      <c r="C91" s="4"/>
      <c r="D91" s="5"/>
      <c r="E91" s="5"/>
      <c r="F91" s="5"/>
      <c r="G91" s="5"/>
      <c r="H91" s="5"/>
    </row>
    <row r="92" spans="2:8" x14ac:dyDescent="0.35">
      <c r="B92" s="25"/>
      <c r="C92" s="4"/>
      <c r="D92" s="5"/>
      <c r="E92" s="5"/>
      <c r="F92" s="5"/>
      <c r="G92" s="5"/>
      <c r="H92" s="5"/>
    </row>
    <row r="93" spans="2:8" x14ac:dyDescent="0.35">
      <c r="B93" s="25"/>
      <c r="C93" s="4"/>
      <c r="D93" s="5"/>
      <c r="E93" s="5"/>
      <c r="F93" s="5"/>
      <c r="G93" s="5"/>
      <c r="H93" s="5"/>
    </row>
    <row r="94" spans="2:8" x14ac:dyDescent="0.35">
      <c r="B94" s="25"/>
      <c r="C94" s="4"/>
      <c r="D94" s="5"/>
      <c r="E94" s="5"/>
      <c r="F94" s="5"/>
      <c r="G94" s="5"/>
      <c r="H94" s="5"/>
    </row>
    <row r="95" spans="2:8" x14ac:dyDescent="0.35">
      <c r="B95" s="25"/>
      <c r="C95" s="4"/>
      <c r="D95" s="5"/>
      <c r="E95" s="5"/>
      <c r="F95" s="5"/>
      <c r="G95" s="5"/>
      <c r="H95" s="5"/>
    </row>
    <row r="96" spans="2:8" x14ac:dyDescent="0.35">
      <c r="B96" s="25"/>
      <c r="C96" s="4"/>
      <c r="D96" s="5"/>
      <c r="E96" s="5"/>
      <c r="F96" s="5"/>
      <c r="G96" s="5"/>
      <c r="H96" s="5"/>
    </row>
    <row r="97" spans="2:8" x14ac:dyDescent="0.35">
      <c r="B97" s="25"/>
      <c r="C97" s="4"/>
      <c r="D97" s="5"/>
      <c r="E97" s="5"/>
      <c r="F97" s="5"/>
      <c r="G97" s="5"/>
      <c r="H97" s="5"/>
    </row>
    <row r="98" spans="2:8" x14ac:dyDescent="0.35">
      <c r="B98" s="25"/>
      <c r="C98" s="4"/>
      <c r="D98" s="5"/>
      <c r="E98" s="5"/>
      <c r="F98" s="5"/>
      <c r="G98" s="5"/>
      <c r="H98" s="5"/>
    </row>
    <row r="99" spans="2:8" x14ac:dyDescent="0.35">
      <c r="B99" s="25"/>
      <c r="C99" s="4"/>
      <c r="D99" s="5"/>
      <c r="E99" s="5"/>
      <c r="F99" s="5"/>
      <c r="G99" s="5"/>
      <c r="H99" s="5"/>
    </row>
    <row r="100" spans="2:8" x14ac:dyDescent="0.35">
      <c r="B100" s="25"/>
      <c r="C100" s="4"/>
      <c r="D100" s="5"/>
      <c r="E100" s="5"/>
      <c r="F100" s="5"/>
      <c r="G100" s="5"/>
      <c r="H100" s="5"/>
    </row>
    <row r="101" spans="2:8" x14ac:dyDescent="0.35">
      <c r="B101" s="25"/>
      <c r="C101" s="4"/>
      <c r="D101" s="5"/>
      <c r="E101" s="5"/>
      <c r="F101" s="5"/>
      <c r="G101" s="5"/>
      <c r="H101" s="5"/>
    </row>
    <row r="102" spans="2:8" x14ac:dyDescent="0.35">
      <c r="B102" s="25"/>
      <c r="C102" s="4"/>
      <c r="D102" s="5"/>
      <c r="E102" s="5"/>
      <c r="F102" s="5"/>
      <c r="G102" s="5"/>
      <c r="H102" s="5"/>
    </row>
    <row r="103" spans="2:8" x14ac:dyDescent="0.35">
      <c r="B103" s="25"/>
      <c r="C103" s="4"/>
      <c r="D103" s="5"/>
      <c r="E103" s="5"/>
      <c r="F103" s="5"/>
      <c r="G103" s="5"/>
      <c r="H103" s="5"/>
    </row>
    <row r="104" spans="2:8" x14ac:dyDescent="0.35">
      <c r="B104" s="25"/>
      <c r="C104" s="4"/>
      <c r="D104" s="5"/>
      <c r="E104" s="5"/>
      <c r="F104" s="5"/>
      <c r="G104" s="5"/>
      <c r="H104" s="5"/>
    </row>
    <row r="105" spans="2:8" x14ac:dyDescent="0.35">
      <c r="B105" s="25"/>
      <c r="C105" s="4"/>
      <c r="D105" s="5"/>
      <c r="E105" s="5"/>
      <c r="F105" s="5"/>
      <c r="G105" s="5"/>
      <c r="H105" s="5"/>
    </row>
    <row r="106" spans="2:8" x14ac:dyDescent="0.35">
      <c r="B106" s="25"/>
      <c r="C106" s="4"/>
      <c r="D106" s="5"/>
      <c r="E106" s="5"/>
      <c r="F106" s="5"/>
      <c r="G106" s="5"/>
      <c r="H106" s="5"/>
    </row>
    <row r="107" spans="2:8" x14ac:dyDescent="0.35">
      <c r="B107" s="25"/>
      <c r="C107" s="4"/>
      <c r="D107" s="5"/>
      <c r="E107" s="5"/>
      <c r="F107" s="5"/>
      <c r="G107" s="5"/>
      <c r="H107" s="5"/>
    </row>
    <row r="108" spans="2:8" x14ac:dyDescent="0.35">
      <c r="B108" s="25"/>
      <c r="C108" s="4"/>
      <c r="D108" s="5"/>
      <c r="E108" s="5"/>
      <c r="F108" s="5"/>
      <c r="G108" s="5"/>
      <c r="H108" s="5"/>
    </row>
    <row r="109" spans="2:8" x14ac:dyDescent="0.35">
      <c r="B109" s="25"/>
      <c r="C109" s="4"/>
      <c r="D109" s="5"/>
      <c r="E109" s="5"/>
      <c r="F109" s="5"/>
      <c r="G109" s="5"/>
      <c r="H109" s="5"/>
    </row>
    <row r="110" spans="2:8" x14ac:dyDescent="0.35">
      <c r="B110" s="25"/>
      <c r="C110" s="4"/>
      <c r="D110" s="5"/>
      <c r="E110" s="5"/>
      <c r="F110" s="5"/>
      <c r="G110" s="5"/>
      <c r="H110" s="5"/>
    </row>
    <row r="111" spans="2:8" x14ac:dyDescent="0.35">
      <c r="B111" s="25"/>
      <c r="C111" s="4"/>
      <c r="D111" s="5"/>
      <c r="E111" s="5"/>
      <c r="F111" s="5"/>
      <c r="G111" s="5"/>
      <c r="H111" s="5"/>
    </row>
    <row r="112" spans="2:8" x14ac:dyDescent="0.35">
      <c r="B112" s="25"/>
      <c r="C112" s="4"/>
      <c r="D112" s="5"/>
      <c r="E112" s="5"/>
      <c r="F112" s="5"/>
      <c r="G112" s="5"/>
      <c r="H112" s="5"/>
    </row>
    <row r="113" spans="2:8" x14ac:dyDescent="0.35">
      <c r="B113" s="25"/>
      <c r="C113" s="4"/>
      <c r="D113" s="5"/>
      <c r="E113" s="5"/>
      <c r="F113" s="5"/>
      <c r="G113" s="5"/>
      <c r="H113" s="5"/>
    </row>
    <row r="114" spans="2:8" x14ac:dyDescent="0.35">
      <c r="B114" s="25"/>
      <c r="C114" s="4"/>
      <c r="D114" s="5"/>
      <c r="E114" s="5"/>
      <c r="F114" s="5"/>
      <c r="G114" s="5"/>
      <c r="H114" s="5"/>
    </row>
    <row r="115" spans="2:8" x14ac:dyDescent="0.35">
      <c r="B115" s="25"/>
      <c r="C115" s="4"/>
      <c r="D115" s="5"/>
      <c r="E115" s="5"/>
      <c r="F115" s="5"/>
      <c r="G115" s="5"/>
      <c r="H115" s="5"/>
    </row>
    <row r="116" spans="2:8" x14ac:dyDescent="0.35">
      <c r="B116" s="25"/>
      <c r="C116" s="4"/>
      <c r="D116" s="5"/>
      <c r="E116" s="5"/>
      <c r="F116" s="5"/>
      <c r="G116" s="5"/>
      <c r="H116" s="5"/>
    </row>
    <row r="117" spans="2:8" x14ac:dyDescent="0.35">
      <c r="B117" s="25"/>
      <c r="C117" s="4"/>
      <c r="D117" s="5"/>
      <c r="E117" s="5"/>
      <c r="F117" s="5"/>
      <c r="G117" s="5"/>
      <c r="H117" s="5"/>
    </row>
    <row r="118" spans="2:8" x14ac:dyDescent="0.35">
      <c r="B118" s="25"/>
      <c r="C118" s="4"/>
      <c r="D118" s="5"/>
      <c r="E118" s="5"/>
      <c r="F118" s="5"/>
      <c r="G118" s="5"/>
      <c r="H118" s="5"/>
    </row>
    <row r="119" spans="2:8" x14ac:dyDescent="0.35">
      <c r="B119" s="25"/>
      <c r="C119" s="4"/>
      <c r="D119" s="5"/>
      <c r="E119" s="5"/>
      <c r="F119" s="5"/>
      <c r="G119" s="5"/>
      <c r="H119" s="5"/>
    </row>
    <row r="120" spans="2:8" x14ac:dyDescent="0.35">
      <c r="B120" s="25"/>
      <c r="C120" s="4"/>
      <c r="D120" s="5"/>
      <c r="E120" s="5"/>
      <c r="F120" s="5"/>
      <c r="G120" s="5"/>
      <c r="H120" s="5"/>
    </row>
    <row r="121" spans="2:8" x14ac:dyDescent="0.35">
      <c r="B121" s="25"/>
      <c r="C121" s="4"/>
      <c r="D121" s="5"/>
      <c r="E121" s="5"/>
      <c r="F121" s="5"/>
      <c r="G121" s="5"/>
      <c r="H121" s="5"/>
    </row>
    <row r="122" spans="2:8" x14ac:dyDescent="0.35">
      <c r="B122" s="25"/>
      <c r="C122" s="4"/>
      <c r="D122" s="5"/>
      <c r="E122" s="5"/>
      <c r="F122" s="5"/>
      <c r="G122" s="5"/>
      <c r="H122" s="5"/>
    </row>
    <row r="123" spans="2:8" x14ac:dyDescent="0.35">
      <c r="B123" s="25"/>
      <c r="C123" s="4"/>
      <c r="D123" s="5"/>
      <c r="E123" s="5"/>
      <c r="F123" s="5"/>
      <c r="G123" s="5"/>
      <c r="H123" s="5"/>
    </row>
    <row r="124" spans="2:8" x14ac:dyDescent="0.35">
      <c r="B124" s="25"/>
      <c r="C124" s="4"/>
      <c r="D124" s="5"/>
      <c r="E124" s="5"/>
      <c r="F124" s="5"/>
      <c r="G124" s="5"/>
      <c r="H124" s="5"/>
    </row>
    <row r="125" spans="2:8" x14ac:dyDescent="0.35">
      <c r="B125" s="25"/>
      <c r="C125" s="4"/>
      <c r="D125" s="5"/>
      <c r="E125" s="5"/>
      <c r="F125" s="5"/>
      <c r="G125" s="5"/>
      <c r="H125" s="5"/>
    </row>
    <row r="126" spans="2:8" x14ac:dyDescent="0.35">
      <c r="B126" s="25"/>
      <c r="C126" s="4"/>
      <c r="D126" s="5"/>
      <c r="E126" s="5"/>
      <c r="F126" s="5"/>
      <c r="G126" s="5"/>
      <c r="H126" s="5"/>
    </row>
    <row r="127" spans="2:8" x14ac:dyDescent="0.35">
      <c r="B127" s="25"/>
      <c r="C127" s="4"/>
      <c r="D127" s="5"/>
      <c r="E127" s="5"/>
      <c r="F127" s="5"/>
      <c r="G127" s="5"/>
      <c r="H127" s="5"/>
    </row>
    <row r="128" spans="2:8" x14ac:dyDescent="0.35">
      <c r="B128" s="25"/>
      <c r="C128" s="4"/>
      <c r="D128" s="5"/>
      <c r="E128" s="5"/>
      <c r="F128" s="5"/>
      <c r="G128" s="5"/>
      <c r="H128" s="5"/>
    </row>
    <row r="129" spans="2:8" x14ac:dyDescent="0.35">
      <c r="B129" s="25"/>
      <c r="C129" s="4"/>
      <c r="D129" s="5"/>
      <c r="E129" s="5"/>
      <c r="F129" s="5"/>
      <c r="G129" s="5"/>
      <c r="H129" s="5"/>
    </row>
    <row r="130" spans="2:8" x14ac:dyDescent="0.35">
      <c r="B130" s="25"/>
      <c r="C130" s="4"/>
      <c r="D130" s="5"/>
      <c r="E130" s="5"/>
      <c r="F130" s="5"/>
      <c r="G130" s="5"/>
      <c r="H130" s="5"/>
    </row>
    <row r="131" spans="2:8" x14ac:dyDescent="0.35">
      <c r="B131" s="25"/>
      <c r="C131" s="4"/>
      <c r="D131" s="5"/>
      <c r="E131" s="5"/>
      <c r="F131" s="5"/>
      <c r="G131" s="5"/>
      <c r="H131" s="5"/>
    </row>
    <row r="132" spans="2:8" x14ac:dyDescent="0.35">
      <c r="B132" s="25"/>
      <c r="C132" s="4"/>
      <c r="D132" s="5"/>
      <c r="E132" s="5"/>
      <c r="F132" s="5"/>
      <c r="G132" s="5"/>
      <c r="H132" s="5"/>
    </row>
    <row r="133" spans="2:8" x14ac:dyDescent="0.35">
      <c r="B133" s="25"/>
      <c r="C133" s="4"/>
      <c r="D133" s="5"/>
      <c r="E133" s="5"/>
      <c r="F133" s="5"/>
      <c r="G133" s="5"/>
      <c r="H133" s="5"/>
    </row>
    <row r="134" spans="2:8" x14ac:dyDescent="0.35">
      <c r="B134" s="25"/>
      <c r="C134" s="4"/>
      <c r="D134" s="5"/>
      <c r="E134" s="5"/>
      <c r="F134" s="5"/>
      <c r="G134" s="5"/>
      <c r="H134" s="5"/>
    </row>
    <row r="135" spans="2:8" x14ac:dyDescent="0.35">
      <c r="B135" s="25"/>
      <c r="C135" s="4"/>
      <c r="D135" s="5"/>
      <c r="E135" s="5"/>
      <c r="F135" s="5"/>
      <c r="G135" s="5"/>
      <c r="H135" s="5"/>
    </row>
    <row r="136" spans="2:8" x14ac:dyDescent="0.35">
      <c r="B136" s="25"/>
      <c r="C136" s="4"/>
      <c r="D136" s="5"/>
      <c r="E136" s="5"/>
      <c r="F136" s="5"/>
      <c r="G136" s="5"/>
      <c r="H136" s="5"/>
    </row>
    <row r="137" spans="2:8" x14ac:dyDescent="0.35">
      <c r="B137" s="25"/>
      <c r="C137" s="4"/>
      <c r="D137" s="5"/>
      <c r="E137" s="5"/>
      <c r="F137" s="5"/>
      <c r="G137" s="5"/>
      <c r="H137" s="5"/>
    </row>
    <row r="138" spans="2:8" x14ac:dyDescent="0.35">
      <c r="B138" s="25"/>
      <c r="C138" s="4"/>
      <c r="D138" s="5"/>
      <c r="E138" s="5"/>
      <c r="F138" s="5"/>
      <c r="G138" s="5"/>
      <c r="H138" s="5"/>
    </row>
    <row r="139" spans="2:8" x14ac:dyDescent="0.35">
      <c r="B139" s="25"/>
      <c r="C139" s="4"/>
      <c r="D139" s="5"/>
      <c r="E139" s="5"/>
      <c r="F139" s="5"/>
      <c r="G139" s="5"/>
      <c r="H139" s="5"/>
    </row>
    <row r="140" spans="2:8" x14ac:dyDescent="0.35">
      <c r="B140" s="25"/>
      <c r="C140" s="4"/>
      <c r="D140" s="5"/>
      <c r="E140" s="5"/>
      <c r="F140" s="5"/>
      <c r="G140" s="5"/>
      <c r="H140" s="5"/>
    </row>
    <row r="141" spans="2:8" x14ac:dyDescent="0.35">
      <c r="B141" s="25"/>
      <c r="C141" s="4"/>
      <c r="D141" s="5"/>
      <c r="E141" s="5"/>
      <c r="F141" s="5"/>
      <c r="G141" s="5"/>
      <c r="H141" s="5"/>
    </row>
    <row r="142" spans="2:8" x14ac:dyDescent="0.35">
      <c r="B142" s="25"/>
      <c r="C142" s="4"/>
      <c r="D142" s="5"/>
      <c r="E142" s="5"/>
      <c r="F142" s="5"/>
      <c r="G142" s="5"/>
      <c r="H142" s="5"/>
    </row>
    <row r="143" spans="2:8" x14ac:dyDescent="0.35">
      <c r="B143" s="25"/>
      <c r="C143" s="4"/>
      <c r="D143" s="5"/>
      <c r="E143" s="5"/>
      <c r="F143" s="5"/>
      <c r="G143" s="5"/>
      <c r="H143" s="5"/>
    </row>
    <row r="144" spans="2:8" x14ac:dyDescent="0.35">
      <c r="B144" s="25"/>
      <c r="C144" s="4"/>
      <c r="D144" s="5"/>
      <c r="E144" s="5"/>
      <c r="F144" s="5"/>
      <c r="G144" s="5"/>
      <c r="H144" s="5"/>
    </row>
    <row r="145" spans="2:8" x14ac:dyDescent="0.35">
      <c r="B145" s="25"/>
      <c r="C145" s="4"/>
      <c r="D145" s="5"/>
      <c r="E145" s="5"/>
      <c r="F145" s="5"/>
      <c r="G145" s="5"/>
      <c r="H145" s="5"/>
    </row>
    <row r="146" spans="2:8" x14ac:dyDescent="0.35">
      <c r="B146" s="25"/>
      <c r="C146" s="4"/>
      <c r="D146" s="5"/>
      <c r="E146" s="5"/>
      <c r="F146" s="5"/>
      <c r="G146" s="5"/>
      <c r="H146" s="5"/>
    </row>
    <row r="147" spans="2:8" x14ac:dyDescent="0.35">
      <c r="B147" s="25"/>
      <c r="C147" s="4"/>
      <c r="D147" s="5"/>
      <c r="E147" s="5"/>
      <c r="F147" s="5"/>
      <c r="G147" s="5"/>
      <c r="H147" s="5"/>
    </row>
    <row r="148" spans="2:8" x14ac:dyDescent="0.35">
      <c r="B148" s="25"/>
      <c r="C148" s="4"/>
      <c r="D148" s="5"/>
      <c r="E148" s="5"/>
      <c r="F148" s="5"/>
      <c r="G148" s="5"/>
      <c r="H148" s="5"/>
    </row>
    <row r="149" spans="2:8" x14ac:dyDescent="0.35">
      <c r="B149" s="25"/>
      <c r="C149" s="4"/>
      <c r="D149" s="5"/>
      <c r="E149" s="5"/>
      <c r="F149" s="5"/>
      <c r="G149" s="5"/>
      <c r="H149" s="5"/>
    </row>
    <row r="150" spans="2:8" x14ac:dyDescent="0.35">
      <c r="B150" s="25"/>
      <c r="C150" s="4"/>
      <c r="D150" s="5"/>
      <c r="E150" s="5"/>
      <c r="F150" s="5"/>
      <c r="G150" s="5"/>
      <c r="H150" s="5"/>
    </row>
    <row r="151" spans="2:8" x14ac:dyDescent="0.35">
      <c r="B151" s="25"/>
      <c r="C151" s="4"/>
      <c r="D151" s="5"/>
      <c r="E151" s="5"/>
      <c r="F151" s="5"/>
      <c r="G151" s="5"/>
      <c r="H151" s="5"/>
    </row>
    <row r="152" spans="2:8" x14ac:dyDescent="0.35">
      <c r="B152" s="25"/>
      <c r="C152" s="4"/>
      <c r="D152" s="5"/>
      <c r="E152" s="5"/>
      <c r="F152" s="5"/>
      <c r="G152" s="5"/>
      <c r="H152" s="5"/>
    </row>
    <row r="153" spans="2:8" x14ac:dyDescent="0.35">
      <c r="B153" s="25"/>
      <c r="C153" s="4"/>
      <c r="D153" s="5"/>
      <c r="E153" s="5"/>
      <c r="F153" s="5"/>
      <c r="G153" s="5"/>
      <c r="H153" s="5"/>
    </row>
    <row r="154" spans="2:8" x14ac:dyDescent="0.35">
      <c r="B154" s="25"/>
      <c r="C154" s="4"/>
      <c r="D154" s="5"/>
      <c r="E154" s="5"/>
      <c r="F154" s="5"/>
      <c r="G154" s="5"/>
      <c r="H154" s="5"/>
    </row>
    <row r="155" spans="2:8" x14ac:dyDescent="0.35">
      <c r="B155" s="25"/>
      <c r="C155" s="4"/>
      <c r="D155" s="5"/>
      <c r="E155" s="5"/>
      <c r="F155" s="5"/>
      <c r="G155" s="5"/>
      <c r="H155" s="5"/>
    </row>
    <row r="156" spans="2:8" x14ac:dyDescent="0.35">
      <c r="B156" s="25"/>
      <c r="C156" s="4"/>
      <c r="D156" s="5"/>
      <c r="E156" s="5"/>
      <c r="F156" s="5"/>
      <c r="G156" s="5"/>
      <c r="H156" s="5"/>
    </row>
    <row r="157" spans="2:8" x14ac:dyDescent="0.35">
      <c r="B157" s="25"/>
      <c r="C157" s="4"/>
      <c r="D157" s="5"/>
      <c r="E157" s="5"/>
      <c r="F157" s="5"/>
      <c r="G157" s="5"/>
      <c r="H157" s="5"/>
    </row>
    <row r="158" spans="2:8" x14ac:dyDescent="0.35">
      <c r="B158" s="25"/>
      <c r="C158" s="4"/>
      <c r="D158" s="5"/>
      <c r="E158" s="5"/>
      <c r="F158" s="5"/>
      <c r="G158" s="5"/>
      <c r="H158" s="5"/>
    </row>
    <row r="159" spans="2:8" x14ac:dyDescent="0.35">
      <c r="B159" s="25"/>
      <c r="C159" s="4"/>
      <c r="D159" s="5"/>
      <c r="E159" s="5"/>
      <c r="F159" s="5"/>
      <c r="G159" s="5"/>
      <c r="H159" s="5"/>
    </row>
    <row r="160" spans="2:8" x14ac:dyDescent="0.35">
      <c r="B160" s="25"/>
      <c r="C160" s="4"/>
      <c r="D160" s="5"/>
      <c r="E160" s="5"/>
      <c r="F160" s="5"/>
      <c r="G160" s="5"/>
      <c r="H160" s="5"/>
    </row>
    <row r="161" spans="2:8" x14ac:dyDescent="0.35">
      <c r="B161" s="25"/>
      <c r="C161" s="4"/>
      <c r="D161" s="5"/>
      <c r="E161" s="5"/>
      <c r="F161" s="5"/>
      <c r="G161" s="5"/>
      <c r="H161" s="5"/>
    </row>
    <row r="162" spans="2:8" x14ac:dyDescent="0.35">
      <c r="B162" s="25"/>
      <c r="C162" s="4"/>
      <c r="D162" s="5"/>
      <c r="E162" s="5"/>
      <c r="F162" s="5"/>
      <c r="G162" s="5"/>
      <c r="H162" s="5"/>
    </row>
    <row r="163" spans="2:8" x14ac:dyDescent="0.35">
      <c r="B163" s="25"/>
      <c r="C163" s="4"/>
      <c r="D163" s="5"/>
      <c r="E163" s="5"/>
      <c r="F163" s="5"/>
      <c r="G163" s="5"/>
      <c r="H163" s="5"/>
    </row>
    <row r="164" spans="2:8" x14ac:dyDescent="0.35">
      <c r="B164" s="25"/>
      <c r="C164" s="4"/>
      <c r="D164" s="5"/>
      <c r="E164" s="5"/>
      <c r="F164" s="5"/>
      <c r="G164" s="5"/>
      <c r="H164" s="5"/>
    </row>
    <row r="165" spans="2:8" x14ac:dyDescent="0.35">
      <c r="B165" s="25"/>
      <c r="C165" s="4"/>
      <c r="D165" s="5"/>
      <c r="E165" s="5"/>
      <c r="F165" s="5"/>
      <c r="G165" s="5"/>
      <c r="H165" s="5"/>
    </row>
    <row r="166" spans="2:8" x14ac:dyDescent="0.35">
      <c r="B166" s="25"/>
      <c r="C166" s="4"/>
      <c r="D166" s="5"/>
      <c r="E166" s="5"/>
      <c r="F166" s="5"/>
      <c r="G166" s="5"/>
      <c r="H166" s="5"/>
    </row>
    <row r="167" spans="2:8" x14ac:dyDescent="0.35">
      <c r="B167" s="25"/>
      <c r="C167" s="4"/>
      <c r="D167" s="5"/>
      <c r="E167" s="5"/>
      <c r="F167" s="5"/>
      <c r="G167" s="5"/>
      <c r="H167" s="5"/>
    </row>
    <row r="168" spans="2:8" x14ac:dyDescent="0.35">
      <c r="B168" s="25"/>
      <c r="C168" s="4"/>
      <c r="D168" s="5"/>
      <c r="E168" s="5"/>
      <c r="F168" s="5"/>
      <c r="G168" s="5"/>
      <c r="H168" s="5"/>
    </row>
    <row r="169" spans="2:8" x14ac:dyDescent="0.35">
      <c r="B169" s="25"/>
      <c r="C169" s="4"/>
      <c r="D169" s="5"/>
      <c r="E169" s="5"/>
      <c r="F169" s="5"/>
      <c r="G169" s="5"/>
      <c r="H169" s="5"/>
    </row>
    <row r="170" spans="2:8" x14ac:dyDescent="0.35">
      <c r="B170" s="25"/>
      <c r="C170" s="4"/>
      <c r="D170" s="5"/>
      <c r="E170" s="5"/>
      <c r="F170" s="5"/>
      <c r="G170" s="5"/>
      <c r="H170" s="5"/>
    </row>
    <row r="171" spans="2:8" x14ac:dyDescent="0.35">
      <c r="B171" s="25"/>
      <c r="C171" s="4"/>
      <c r="D171" s="5"/>
      <c r="E171" s="5"/>
      <c r="F171" s="5"/>
      <c r="G171" s="5"/>
      <c r="H171" s="5"/>
    </row>
    <row r="172" spans="2:8" x14ac:dyDescent="0.35">
      <c r="B172" s="25"/>
      <c r="C172" s="4"/>
      <c r="D172" s="5"/>
      <c r="E172" s="5"/>
      <c r="F172" s="5"/>
      <c r="G172" s="5"/>
      <c r="H172" s="5"/>
    </row>
    <row r="173" spans="2:8" x14ac:dyDescent="0.35">
      <c r="B173" s="25"/>
      <c r="C173" s="4"/>
      <c r="D173" s="5"/>
      <c r="E173" s="5"/>
      <c r="F173" s="5"/>
      <c r="G173" s="5"/>
      <c r="H173" s="5"/>
    </row>
    <row r="174" spans="2:8" x14ac:dyDescent="0.35">
      <c r="B174" s="25"/>
      <c r="C174" s="4"/>
      <c r="D174" s="5"/>
      <c r="E174" s="5"/>
      <c r="F174" s="5"/>
      <c r="G174" s="5"/>
      <c r="H174" s="5"/>
    </row>
    <row r="175" spans="2:8" x14ac:dyDescent="0.35">
      <c r="B175" s="25"/>
      <c r="C175" s="4"/>
      <c r="D175" s="5"/>
      <c r="E175" s="5"/>
      <c r="F175" s="5"/>
      <c r="G175" s="5"/>
      <c r="H175" s="5"/>
    </row>
    <row r="176" spans="2:8" x14ac:dyDescent="0.35">
      <c r="B176" s="25"/>
      <c r="C176" s="4"/>
      <c r="D176" s="5"/>
      <c r="E176" s="5"/>
      <c r="F176" s="5"/>
      <c r="G176" s="5"/>
      <c r="H176" s="5"/>
    </row>
    <row r="177" spans="2:8" x14ac:dyDescent="0.35">
      <c r="B177" s="25"/>
      <c r="C177" s="4"/>
      <c r="D177" s="5"/>
      <c r="E177" s="5"/>
      <c r="F177" s="5"/>
      <c r="G177" s="5"/>
      <c r="H177" s="5"/>
    </row>
    <row r="178" spans="2:8" x14ac:dyDescent="0.35">
      <c r="B178" s="25"/>
      <c r="C178" s="4"/>
      <c r="D178" s="5"/>
      <c r="E178" s="5"/>
      <c r="F178" s="5"/>
      <c r="G178" s="5"/>
      <c r="H178" s="5"/>
    </row>
    <row r="179" spans="2:8" x14ac:dyDescent="0.35">
      <c r="B179" s="25"/>
      <c r="C179" s="4"/>
      <c r="D179" s="5"/>
      <c r="E179" s="5"/>
      <c r="F179" s="5"/>
      <c r="G179" s="5"/>
      <c r="H179" s="5"/>
    </row>
    <row r="180" spans="2:8" x14ac:dyDescent="0.35">
      <c r="B180" s="25"/>
      <c r="C180" s="4"/>
      <c r="D180" s="5"/>
      <c r="E180" s="5"/>
      <c r="F180" s="5"/>
      <c r="G180" s="5"/>
      <c r="H180" s="5"/>
    </row>
    <row r="181" spans="2:8" x14ac:dyDescent="0.35">
      <c r="B181" s="25"/>
      <c r="C181" s="4"/>
      <c r="D181" s="5"/>
      <c r="E181" s="5"/>
      <c r="F181" s="5"/>
      <c r="G181" s="5"/>
      <c r="H181" s="5"/>
    </row>
    <row r="182" spans="2:8" x14ac:dyDescent="0.35">
      <c r="B182" s="25"/>
      <c r="C182" s="4"/>
      <c r="D182" s="5"/>
      <c r="E182" s="5"/>
      <c r="F182" s="5"/>
      <c r="G182" s="5"/>
      <c r="H182" s="5"/>
    </row>
    <row r="183" spans="2:8" x14ac:dyDescent="0.35">
      <c r="B183" s="25"/>
      <c r="C183" s="4"/>
      <c r="D183" s="5"/>
      <c r="E183" s="5"/>
      <c r="F183" s="5"/>
      <c r="G183" s="5"/>
      <c r="H183" s="5"/>
    </row>
    <row r="184" spans="2:8" x14ac:dyDescent="0.35">
      <c r="B184" s="25"/>
      <c r="C184" s="4"/>
      <c r="D184" s="5"/>
      <c r="E184" s="5"/>
      <c r="F184" s="5"/>
      <c r="G184" s="5"/>
      <c r="H184" s="5"/>
    </row>
    <row r="185" spans="2:8" x14ac:dyDescent="0.35">
      <c r="B185" s="25"/>
      <c r="C185" s="4"/>
      <c r="D185" s="5"/>
      <c r="E185" s="5"/>
      <c r="F185" s="5"/>
      <c r="G185" s="5"/>
      <c r="H185" s="5"/>
    </row>
    <row r="186" spans="2:8" x14ac:dyDescent="0.35">
      <c r="B186" s="25"/>
      <c r="C186" s="4"/>
      <c r="D186" s="5"/>
      <c r="E186" s="5"/>
      <c r="F186" s="5"/>
      <c r="G186" s="5"/>
      <c r="H186" s="5"/>
    </row>
    <row r="187" spans="2:8" x14ac:dyDescent="0.35">
      <c r="B187" s="25"/>
      <c r="C187" s="4"/>
      <c r="D187" s="5"/>
      <c r="E187" s="5"/>
      <c r="F187" s="5"/>
      <c r="G187" s="5"/>
      <c r="H187" s="5"/>
    </row>
    <row r="188" spans="2:8" x14ac:dyDescent="0.35">
      <c r="B188" s="25"/>
      <c r="C188" s="4"/>
      <c r="D188" s="5"/>
      <c r="E188" s="5"/>
      <c r="F188" s="5"/>
      <c r="G188" s="5"/>
      <c r="H188" s="5"/>
    </row>
    <row r="189" spans="2:8" x14ac:dyDescent="0.35">
      <c r="B189" s="25"/>
      <c r="C189" s="4"/>
      <c r="D189" s="5"/>
      <c r="E189" s="5"/>
      <c r="F189" s="5"/>
      <c r="G189" s="5"/>
      <c r="H189" s="5"/>
    </row>
    <row r="190" spans="2:8" x14ac:dyDescent="0.35">
      <c r="B190" s="25"/>
      <c r="C190" s="4"/>
      <c r="D190" s="5"/>
      <c r="E190" s="5"/>
      <c r="F190" s="5"/>
      <c r="G190" s="5"/>
      <c r="H190" s="5"/>
    </row>
    <row r="191" spans="2:8" x14ac:dyDescent="0.35">
      <c r="B191" s="25"/>
      <c r="C191" s="4"/>
      <c r="D191" s="5"/>
      <c r="E191" s="5"/>
      <c r="F191" s="5"/>
      <c r="G191" s="5"/>
      <c r="H191" s="5"/>
    </row>
    <row r="192" spans="2:8" x14ac:dyDescent="0.35">
      <c r="B192" s="25"/>
      <c r="C192" s="4"/>
      <c r="D192" s="5"/>
      <c r="E192" s="5"/>
      <c r="F192" s="5"/>
      <c r="G192" s="5"/>
      <c r="H192" s="5"/>
    </row>
    <row r="193" spans="2:8" x14ac:dyDescent="0.35">
      <c r="B193" s="25"/>
      <c r="C193" s="4"/>
      <c r="D193" s="5"/>
      <c r="E193" s="5"/>
      <c r="F193" s="5"/>
      <c r="G193" s="5"/>
      <c r="H193" s="5"/>
    </row>
    <row r="194" spans="2:8" x14ac:dyDescent="0.35">
      <c r="B194" s="25"/>
      <c r="C194" s="4"/>
      <c r="D194" s="5"/>
      <c r="E194" s="5"/>
      <c r="F194" s="5"/>
      <c r="G194" s="5"/>
      <c r="H194" s="5"/>
    </row>
    <row r="195" spans="2:8" x14ac:dyDescent="0.35">
      <c r="B195" s="25"/>
      <c r="C195" s="4"/>
      <c r="D195" s="5"/>
      <c r="E195" s="5"/>
      <c r="F195" s="5"/>
      <c r="G195" s="5"/>
      <c r="H195" s="5"/>
    </row>
    <row r="196" spans="2:8" x14ac:dyDescent="0.35">
      <c r="B196" s="25"/>
      <c r="C196" s="4"/>
      <c r="D196" s="5"/>
      <c r="E196" s="5"/>
      <c r="F196" s="5"/>
      <c r="G196" s="5"/>
      <c r="H196" s="5"/>
    </row>
    <row r="197" spans="2:8" x14ac:dyDescent="0.35">
      <c r="B197" s="25"/>
      <c r="C197" s="4"/>
      <c r="D197" s="5"/>
      <c r="E197" s="5"/>
      <c r="F197" s="5"/>
      <c r="G197" s="5"/>
      <c r="H197" s="5"/>
    </row>
    <row r="198" spans="2:8" x14ac:dyDescent="0.35">
      <c r="B198" s="25"/>
      <c r="C198" s="4"/>
      <c r="D198" s="5"/>
      <c r="E198" s="5"/>
      <c r="F198" s="5"/>
      <c r="G198" s="5"/>
      <c r="H198" s="5"/>
    </row>
    <row r="199" spans="2:8" x14ac:dyDescent="0.35">
      <c r="B199" s="25"/>
      <c r="C199" s="4"/>
      <c r="D199" s="5"/>
      <c r="E199" s="5"/>
      <c r="F199" s="5"/>
      <c r="G199" s="5"/>
      <c r="H199" s="5"/>
    </row>
    <row r="200" spans="2:8" x14ac:dyDescent="0.35">
      <c r="B200" s="25"/>
      <c r="C200" s="4"/>
      <c r="D200" s="5"/>
      <c r="E200" s="5"/>
      <c r="F200" s="5"/>
      <c r="G200" s="5"/>
      <c r="H200" s="5"/>
    </row>
    <row r="201" spans="2:8" x14ac:dyDescent="0.35">
      <c r="B201" s="25"/>
      <c r="C201" s="4"/>
      <c r="D201" s="5"/>
      <c r="E201" s="5"/>
      <c r="F201" s="5"/>
      <c r="G201" s="5"/>
      <c r="H201" s="5"/>
    </row>
    <row r="202" spans="2:8" x14ac:dyDescent="0.35">
      <c r="B202" s="25"/>
      <c r="C202" s="4"/>
      <c r="D202" s="5"/>
      <c r="E202" s="5"/>
      <c r="F202" s="5"/>
      <c r="G202" s="5"/>
      <c r="H202" s="5"/>
    </row>
    <row r="203" spans="2:8" x14ac:dyDescent="0.35">
      <c r="B203" s="25"/>
      <c r="C203" s="4"/>
      <c r="D203" s="5"/>
      <c r="E203" s="5"/>
      <c r="F203" s="5"/>
      <c r="G203" s="5"/>
      <c r="H203" s="5"/>
    </row>
    <row r="204" spans="2:8" x14ac:dyDescent="0.35">
      <c r="B204" s="25"/>
      <c r="C204" s="4"/>
      <c r="D204" s="5"/>
      <c r="E204" s="5"/>
      <c r="F204" s="5"/>
      <c r="G204" s="5"/>
      <c r="H204" s="5"/>
    </row>
    <row r="205" spans="2:8" x14ac:dyDescent="0.35">
      <c r="B205" s="25"/>
      <c r="C205" s="4"/>
      <c r="D205" s="5"/>
      <c r="E205" s="5"/>
      <c r="F205" s="5"/>
      <c r="G205" s="5"/>
      <c r="H205" s="5"/>
    </row>
    <row r="206" spans="2:8" x14ac:dyDescent="0.35">
      <c r="B206" s="25"/>
      <c r="C206" s="4"/>
      <c r="D206" s="5"/>
      <c r="E206" s="5"/>
      <c r="F206" s="5"/>
      <c r="G206" s="5"/>
      <c r="H206" s="5"/>
    </row>
    <row r="207" spans="2:8" x14ac:dyDescent="0.35">
      <c r="B207" s="25"/>
      <c r="C207" s="4"/>
      <c r="D207" s="5"/>
      <c r="E207" s="5"/>
      <c r="F207" s="5"/>
      <c r="G207" s="5"/>
      <c r="H207" s="5"/>
    </row>
    <row r="208" spans="2:8" x14ac:dyDescent="0.35">
      <c r="B208" s="25"/>
      <c r="C208" s="4"/>
      <c r="D208" s="5"/>
      <c r="E208" s="5"/>
      <c r="F208" s="5"/>
      <c r="G208" s="5"/>
      <c r="H208" s="5"/>
    </row>
    <row r="209" spans="2:8" x14ac:dyDescent="0.35">
      <c r="B209" s="25"/>
      <c r="C209" s="4"/>
      <c r="D209" s="5"/>
      <c r="E209" s="5"/>
      <c r="F209" s="5"/>
      <c r="G209" s="5"/>
      <c r="H209" s="5"/>
    </row>
    <row r="210" spans="2:8" x14ac:dyDescent="0.35">
      <c r="B210" s="25"/>
      <c r="C210" s="4"/>
      <c r="D210" s="5"/>
      <c r="E210" s="5"/>
      <c r="F210" s="5"/>
      <c r="G210" s="5"/>
      <c r="H210" s="5"/>
    </row>
    <row r="211" spans="2:8" x14ac:dyDescent="0.35">
      <c r="B211" s="25"/>
      <c r="C211" s="4"/>
      <c r="D211" s="5"/>
      <c r="E211" s="5"/>
      <c r="F211" s="5"/>
      <c r="G211" s="5"/>
      <c r="H211" s="5"/>
    </row>
    <row r="212" spans="2:8" x14ac:dyDescent="0.35">
      <c r="B212" s="25"/>
      <c r="C212" s="4"/>
      <c r="D212" s="5"/>
      <c r="E212" s="5"/>
      <c r="F212" s="5"/>
      <c r="G212" s="5"/>
      <c r="H212" s="5"/>
    </row>
    <row r="213" spans="2:8" x14ac:dyDescent="0.35">
      <c r="B213" s="25"/>
      <c r="C213" s="4"/>
      <c r="D213" s="5"/>
      <c r="E213" s="5"/>
      <c r="F213" s="5"/>
      <c r="G213" s="5"/>
      <c r="H213" s="5"/>
    </row>
    <row r="214" spans="2:8" x14ac:dyDescent="0.35">
      <c r="B214" s="25"/>
      <c r="C214" s="4"/>
      <c r="D214" s="5"/>
      <c r="E214" s="5"/>
      <c r="F214" s="5"/>
      <c r="G214" s="5"/>
      <c r="H214" s="5"/>
    </row>
    <row r="215" spans="2:8" x14ac:dyDescent="0.35">
      <c r="B215" s="25"/>
      <c r="C215" s="4"/>
      <c r="D215" s="5"/>
      <c r="E215" s="5"/>
      <c r="F215" s="5"/>
      <c r="G215" s="5"/>
      <c r="H215" s="5"/>
    </row>
    <row r="216" spans="2:8" x14ac:dyDescent="0.35">
      <c r="B216" s="25"/>
      <c r="C216" s="4"/>
      <c r="D216" s="5"/>
      <c r="E216" s="5"/>
      <c r="F216" s="5"/>
      <c r="G216" s="5"/>
      <c r="H216" s="5"/>
    </row>
    <row r="217" spans="2:8" x14ac:dyDescent="0.35">
      <c r="B217" s="25"/>
      <c r="C217" s="4"/>
      <c r="D217" s="5"/>
      <c r="E217" s="5"/>
      <c r="F217" s="5"/>
      <c r="G217" s="5"/>
      <c r="H217" s="5"/>
    </row>
    <row r="218" spans="2:8" x14ac:dyDescent="0.35">
      <c r="B218" s="25"/>
      <c r="C218" s="4"/>
      <c r="D218" s="5"/>
      <c r="E218" s="5"/>
      <c r="F218" s="5"/>
      <c r="G218" s="5"/>
      <c r="H218" s="5"/>
    </row>
    <row r="219" spans="2:8" x14ac:dyDescent="0.35">
      <c r="B219" s="25"/>
      <c r="C219" s="4"/>
      <c r="D219" s="5"/>
      <c r="E219" s="5"/>
      <c r="F219" s="5"/>
      <c r="G219" s="5"/>
      <c r="H219" s="5"/>
    </row>
    <row r="220" spans="2:8" x14ac:dyDescent="0.35">
      <c r="B220" s="25"/>
      <c r="C220" s="4"/>
      <c r="D220" s="5"/>
      <c r="E220" s="5"/>
      <c r="F220" s="5"/>
      <c r="G220" s="5"/>
      <c r="H220" s="5"/>
    </row>
    <row r="221" spans="2:8" x14ac:dyDescent="0.35">
      <c r="B221" s="25"/>
      <c r="C221" s="4"/>
      <c r="D221" s="5"/>
      <c r="E221" s="5"/>
      <c r="F221" s="5"/>
      <c r="G221" s="5"/>
      <c r="H221" s="5"/>
    </row>
    <row r="222" spans="2:8" x14ac:dyDescent="0.35">
      <c r="B222" s="25"/>
      <c r="C222" s="4"/>
      <c r="D222" s="5"/>
      <c r="E222" s="5"/>
      <c r="F222" s="5"/>
      <c r="G222" s="5"/>
      <c r="H222" s="5"/>
    </row>
    <row r="223" spans="2:8" x14ac:dyDescent="0.35">
      <c r="B223" s="25"/>
      <c r="C223" s="4"/>
      <c r="D223" s="5"/>
      <c r="E223" s="5"/>
      <c r="F223" s="5"/>
      <c r="G223" s="5"/>
      <c r="H223" s="5"/>
    </row>
    <row r="224" spans="2:8" x14ac:dyDescent="0.35">
      <c r="B224" s="25"/>
      <c r="C224" s="4"/>
      <c r="D224" s="5"/>
      <c r="E224" s="5"/>
      <c r="F224" s="5"/>
      <c r="G224" s="5"/>
      <c r="H224" s="5"/>
    </row>
    <row r="225" spans="2:8" x14ac:dyDescent="0.35">
      <c r="B225" s="25"/>
      <c r="C225" s="4"/>
      <c r="D225" s="5"/>
      <c r="E225" s="5"/>
      <c r="F225" s="5"/>
      <c r="G225" s="5"/>
      <c r="H225" s="5"/>
    </row>
    <row r="226" spans="2:8" x14ac:dyDescent="0.35">
      <c r="B226" s="25"/>
      <c r="C226" s="4"/>
      <c r="D226" s="5"/>
      <c r="E226" s="5"/>
      <c r="F226" s="5"/>
      <c r="G226" s="5"/>
      <c r="H226" s="5"/>
    </row>
    <row r="227" spans="2:8" x14ac:dyDescent="0.35">
      <c r="B227" s="25"/>
      <c r="C227" s="4"/>
      <c r="D227" s="5"/>
      <c r="E227" s="5"/>
      <c r="F227" s="5"/>
      <c r="G227" s="5"/>
      <c r="H227" s="5"/>
    </row>
    <row r="228" spans="2:8" x14ac:dyDescent="0.35">
      <c r="B228" s="25"/>
      <c r="C228" s="4"/>
      <c r="D228" s="5"/>
      <c r="E228" s="5"/>
      <c r="F228" s="5"/>
      <c r="G228" s="5"/>
      <c r="H228" s="5"/>
    </row>
    <row r="229" spans="2:8" x14ac:dyDescent="0.35">
      <c r="B229" s="25"/>
      <c r="C229" s="4"/>
      <c r="D229" s="5"/>
      <c r="E229" s="5"/>
      <c r="F229" s="5"/>
      <c r="G229" s="5"/>
      <c r="H229" s="5"/>
    </row>
    <row r="230" spans="2:8" x14ac:dyDescent="0.35">
      <c r="B230" s="25"/>
      <c r="C230" s="4"/>
      <c r="D230" s="5"/>
      <c r="E230" s="5"/>
      <c r="F230" s="5"/>
      <c r="G230" s="5"/>
      <c r="H230" s="5"/>
    </row>
    <row r="231" spans="2:8" x14ac:dyDescent="0.35">
      <c r="B231" s="25"/>
      <c r="C231" s="4"/>
      <c r="D231" s="5"/>
      <c r="E231" s="5"/>
      <c r="F231" s="5"/>
      <c r="G231" s="5"/>
      <c r="H231" s="5"/>
    </row>
    <row r="232" spans="2:8" x14ac:dyDescent="0.35">
      <c r="B232" s="25"/>
      <c r="C232" s="4"/>
      <c r="D232" s="5"/>
      <c r="E232" s="5"/>
      <c r="F232" s="5"/>
      <c r="G232" s="5"/>
      <c r="H232" s="5"/>
    </row>
    <row r="233" spans="2:8" x14ac:dyDescent="0.35">
      <c r="B233" s="25"/>
      <c r="C233" s="4"/>
      <c r="D233" s="5"/>
      <c r="E233" s="5"/>
      <c r="F233" s="5"/>
      <c r="G233" s="5"/>
      <c r="H233" s="5"/>
    </row>
    <row r="234" spans="2:8" x14ac:dyDescent="0.35">
      <c r="B234" s="25"/>
      <c r="C234" s="4"/>
      <c r="D234" s="5"/>
      <c r="E234" s="5"/>
      <c r="F234" s="5"/>
      <c r="G234" s="5"/>
      <c r="H234" s="5"/>
    </row>
    <row r="235" spans="2:8" x14ac:dyDescent="0.35">
      <c r="B235" s="25"/>
      <c r="C235" s="4"/>
      <c r="D235" s="5"/>
      <c r="E235" s="5"/>
      <c r="F235" s="5"/>
      <c r="G235" s="5"/>
      <c r="H235" s="5"/>
    </row>
    <row r="236" spans="2:8" x14ac:dyDescent="0.35">
      <c r="B236" s="25"/>
      <c r="C236" s="4"/>
      <c r="D236" s="5"/>
      <c r="E236" s="5"/>
      <c r="F236" s="5"/>
      <c r="G236" s="5"/>
      <c r="H236" s="5"/>
    </row>
    <row r="237" spans="2:8" x14ac:dyDescent="0.35">
      <c r="B237" s="25"/>
      <c r="C237" s="4"/>
      <c r="D237" s="5"/>
      <c r="E237" s="5"/>
      <c r="F237" s="5"/>
      <c r="G237" s="5"/>
      <c r="H237" s="5"/>
    </row>
    <row r="238" spans="2:8" x14ac:dyDescent="0.35">
      <c r="B238" s="25"/>
      <c r="C238" s="4"/>
      <c r="D238" s="5"/>
      <c r="E238" s="5"/>
      <c r="F238" s="5"/>
      <c r="G238" s="5"/>
      <c r="H238" s="5"/>
    </row>
    <row r="239" spans="2:8" x14ac:dyDescent="0.35">
      <c r="B239" s="25"/>
      <c r="C239" s="4"/>
      <c r="D239" s="5"/>
      <c r="E239" s="5"/>
      <c r="F239" s="5"/>
      <c r="G239" s="5"/>
      <c r="H239" s="5"/>
    </row>
    <row r="240" spans="2:8" x14ac:dyDescent="0.35">
      <c r="B240" s="25"/>
      <c r="C240" s="4"/>
      <c r="D240" s="5"/>
      <c r="E240" s="5"/>
      <c r="F240" s="5"/>
      <c r="G240" s="5"/>
      <c r="H240" s="5"/>
    </row>
    <row r="241" spans="2:8" x14ac:dyDescent="0.35">
      <c r="B241" s="25"/>
      <c r="C241" s="4"/>
      <c r="D241" s="5"/>
      <c r="E241" s="5"/>
      <c r="F241" s="5"/>
      <c r="G241" s="5"/>
      <c r="H241" s="5"/>
    </row>
    <row r="242" spans="2:8" x14ac:dyDescent="0.35">
      <c r="B242" s="25"/>
      <c r="C242" s="4"/>
      <c r="D242" s="5"/>
      <c r="E242" s="5"/>
      <c r="F242" s="5"/>
      <c r="G242" s="5"/>
      <c r="H242" s="5"/>
    </row>
    <row r="243" spans="2:8" x14ac:dyDescent="0.35">
      <c r="B243" s="25"/>
      <c r="C243" s="4"/>
      <c r="D243" s="5"/>
      <c r="E243" s="5"/>
      <c r="F243" s="5"/>
      <c r="G243" s="5"/>
      <c r="H243" s="5"/>
    </row>
    <row r="244" spans="2:8" x14ac:dyDescent="0.35">
      <c r="B244" s="25"/>
      <c r="C244" s="4"/>
      <c r="D244" s="5"/>
      <c r="E244" s="5"/>
      <c r="F244" s="5"/>
      <c r="G244" s="5"/>
      <c r="H244" s="5"/>
    </row>
    <row r="245" spans="2:8" x14ac:dyDescent="0.35">
      <c r="B245" s="25"/>
      <c r="C245" s="4"/>
      <c r="D245" s="5"/>
      <c r="E245" s="5"/>
      <c r="F245" s="5"/>
      <c r="G245" s="5"/>
      <c r="H245" s="5"/>
    </row>
    <row r="246" spans="2:8" x14ac:dyDescent="0.35">
      <c r="B246" s="25"/>
      <c r="C246" s="4"/>
      <c r="D246" s="5"/>
      <c r="E246" s="5"/>
      <c r="F246" s="5"/>
      <c r="G246" s="5"/>
      <c r="H246" s="5"/>
    </row>
    <row r="247" spans="2:8" x14ac:dyDescent="0.35">
      <c r="B247" s="25"/>
      <c r="C247" s="4"/>
      <c r="D247" s="5"/>
      <c r="E247" s="5"/>
      <c r="F247" s="5"/>
      <c r="G247" s="5"/>
      <c r="H247" s="5"/>
    </row>
    <row r="248" spans="2:8" x14ac:dyDescent="0.35">
      <c r="B248" s="25"/>
      <c r="C248" s="4"/>
      <c r="D248" s="5"/>
      <c r="E248" s="5"/>
      <c r="F248" s="5"/>
      <c r="G248" s="5"/>
      <c r="H248" s="5"/>
    </row>
    <row r="249" spans="2:8" x14ac:dyDescent="0.35">
      <c r="B249" s="25"/>
      <c r="C249" s="4"/>
      <c r="D249" s="5"/>
      <c r="E249" s="5"/>
      <c r="F249" s="5"/>
      <c r="G249" s="5"/>
      <c r="H249" s="5"/>
    </row>
    <row r="250" spans="2:8" x14ac:dyDescent="0.35">
      <c r="B250" s="25"/>
      <c r="C250" s="4"/>
      <c r="D250" s="5"/>
      <c r="E250" s="5"/>
      <c r="F250" s="5"/>
      <c r="G250" s="5"/>
      <c r="H250" s="5"/>
    </row>
    <row r="251" spans="2:8" x14ac:dyDescent="0.35">
      <c r="B251" s="25"/>
      <c r="C251" s="4"/>
      <c r="D251" s="5"/>
      <c r="E251" s="5"/>
      <c r="F251" s="5"/>
      <c r="G251" s="5"/>
      <c r="H251" s="5"/>
    </row>
    <row r="252" spans="2:8" x14ac:dyDescent="0.35">
      <c r="B252" s="25"/>
      <c r="C252" s="4"/>
      <c r="D252" s="5"/>
      <c r="E252" s="5"/>
      <c r="F252" s="5"/>
      <c r="G252" s="5"/>
      <c r="H252" s="5"/>
    </row>
    <row r="253" spans="2:8" x14ac:dyDescent="0.35">
      <c r="B253" s="25"/>
      <c r="C253" s="4"/>
      <c r="D253" s="5"/>
      <c r="E253" s="5"/>
      <c r="F253" s="5"/>
      <c r="G253" s="5"/>
      <c r="H253" s="5"/>
    </row>
    <row r="254" spans="2:8" x14ac:dyDescent="0.35">
      <c r="B254" s="25"/>
      <c r="C254" s="4"/>
      <c r="D254" s="5"/>
      <c r="E254" s="5"/>
      <c r="F254" s="5"/>
      <c r="G254" s="5"/>
      <c r="H254" s="5"/>
    </row>
    <row r="255" spans="2:8" x14ac:dyDescent="0.35">
      <c r="B255" s="25"/>
      <c r="C255" s="4"/>
      <c r="D255" s="5"/>
      <c r="E255" s="5"/>
      <c r="F255" s="5"/>
      <c r="G255" s="5"/>
      <c r="H255" s="5"/>
    </row>
    <row r="256" spans="2:8" x14ac:dyDescent="0.35">
      <c r="B256" s="25"/>
      <c r="C256" s="4"/>
      <c r="D256" s="5"/>
      <c r="E256" s="5"/>
      <c r="F256" s="5"/>
      <c r="G256" s="5"/>
      <c r="H256" s="5"/>
    </row>
    <row r="257" spans="2:8" x14ac:dyDescent="0.35">
      <c r="B257" s="25"/>
      <c r="C257" s="4"/>
      <c r="D257" s="5"/>
      <c r="E257" s="5"/>
      <c r="F257" s="5"/>
      <c r="G257" s="5"/>
      <c r="H257" s="5"/>
    </row>
    <row r="258" spans="2:8" x14ac:dyDescent="0.35">
      <c r="B258" s="25"/>
      <c r="C258" s="4"/>
      <c r="D258" s="5"/>
      <c r="E258" s="5"/>
      <c r="F258" s="5"/>
      <c r="G258" s="5"/>
      <c r="H258" s="5"/>
    </row>
    <row r="259" spans="2:8" x14ac:dyDescent="0.35">
      <c r="B259" s="25"/>
      <c r="C259" s="4"/>
      <c r="D259" s="5"/>
      <c r="E259" s="5"/>
      <c r="F259" s="5"/>
      <c r="G259" s="5"/>
      <c r="H259" s="5"/>
    </row>
    <row r="260" spans="2:8" x14ac:dyDescent="0.35">
      <c r="B260" s="25"/>
      <c r="C260" s="4"/>
      <c r="D260" s="5"/>
      <c r="E260" s="5"/>
      <c r="F260" s="5"/>
      <c r="G260" s="5"/>
      <c r="H260" s="5"/>
    </row>
    <row r="261" spans="2:8" x14ac:dyDescent="0.35">
      <c r="B261" s="25"/>
      <c r="C261" s="4"/>
      <c r="D261" s="5"/>
      <c r="E261" s="5"/>
      <c r="F261" s="5"/>
      <c r="G261" s="5"/>
      <c r="H261" s="5"/>
    </row>
    <row r="262" spans="2:8" x14ac:dyDescent="0.35">
      <c r="B262" s="25"/>
      <c r="C262" s="4"/>
      <c r="D262" s="5"/>
      <c r="E262" s="5"/>
      <c r="F262" s="5"/>
      <c r="G262" s="5"/>
      <c r="H262" s="5"/>
    </row>
    <row r="263" spans="2:8" x14ac:dyDescent="0.35">
      <c r="B263" s="25"/>
      <c r="C263" s="4"/>
      <c r="D263" s="5"/>
      <c r="E263" s="5"/>
      <c r="F263" s="5"/>
      <c r="G263" s="5"/>
      <c r="H263" s="5"/>
    </row>
    <row r="264" spans="2:8" x14ac:dyDescent="0.35">
      <c r="B264" s="25"/>
      <c r="C264" s="4"/>
      <c r="D264" s="5"/>
      <c r="E264" s="5"/>
      <c r="F264" s="5"/>
      <c r="G264" s="5"/>
      <c r="H264" s="5"/>
    </row>
    <row r="265" spans="2:8" x14ac:dyDescent="0.35">
      <c r="B265" s="25"/>
      <c r="C265" s="4"/>
      <c r="D265" s="5"/>
      <c r="E265" s="5"/>
      <c r="F265" s="5"/>
      <c r="G265" s="5"/>
      <c r="H265" s="5"/>
    </row>
    <row r="266" spans="2:8" x14ac:dyDescent="0.35">
      <c r="B266" s="25"/>
      <c r="C266" s="4"/>
      <c r="D266" s="5"/>
      <c r="E266" s="5"/>
      <c r="F266" s="5"/>
      <c r="G266" s="5"/>
      <c r="H266" s="5"/>
    </row>
    <row r="267" spans="2:8" x14ac:dyDescent="0.35">
      <c r="B267" s="25"/>
      <c r="C267" s="4"/>
      <c r="D267" s="5"/>
      <c r="E267" s="5"/>
      <c r="F267" s="5"/>
      <c r="G267" s="5"/>
      <c r="H267" s="5"/>
    </row>
    <row r="268" spans="2:8" x14ac:dyDescent="0.35">
      <c r="B268" s="25"/>
      <c r="C268" s="4"/>
      <c r="D268" s="5"/>
      <c r="E268" s="5"/>
      <c r="F268" s="5"/>
      <c r="G268" s="5"/>
      <c r="H268" s="5"/>
    </row>
    <row r="269" spans="2:8" x14ac:dyDescent="0.35">
      <c r="B269" s="25"/>
      <c r="C269" s="4"/>
      <c r="D269" s="5"/>
      <c r="E269" s="5"/>
      <c r="F269" s="5"/>
      <c r="G269" s="5"/>
      <c r="H269" s="5"/>
    </row>
    <row r="270" spans="2:8" x14ac:dyDescent="0.35">
      <c r="B270" s="25"/>
      <c r="C270" s="4"/>
      <c r="D270" s="5"/>
      <c r="E270" s="5"/>
      <c r="F270" s="5"/>
      <c r="G270" s="5"/>
      <c r="H270" s="5"/>
    </row>
    <row r="271" spans="2:8" x14ac:dyDescent="0.35">
      <c r="B271" s="25"/>
      <c r="C271" s="4"/>
      <c r="D271" s="5"/>
      <c r="E271" s="5"/>
      <c r="F271" s="5"/>
      <c r="G271" s="5"/>
      <c r="H271" s="5"/>
    </row>
    <row r="272" spans="2:8" x14ac:dyDescent="0.35">
      <c r="B272" s="25"/>
      <c r="C272" s="4"/>
      <c r="D272" s="5"/>
      <c r="E272" s="5"/>
      <c r="F272" s="5"/>
      <c r="G272" s="5"/>
      <c r="H272" s="5"/>
    </row>
    <row r="273" spans="2:8" x14ac:dyDescent="0.35">
      <c r="B273" s="25"/>
      <c r="C273" s="4"/>
      <c r="D273" s="5"/>
      <c r="E273" s="5"/>
      <c r="F273" s="5"/>
      <c r="G273" s="5"/>
      <c r="H273" s="5"/>
    </row>
    <row r="274" spans="2:8" x14ac:dyDescent="0.35">
      <c r="B274" s="25"/>
      <c r="C274" s="4"/>
      <c r="D274" s="5"/>
      <c r="E274" s="5"/>
      <c r="F274" s="5"/>
      <c r="G274" s="5"/>
      <c r="H274" s="5"/>
    </row>
    <row r="275" spans="2:8" x14ac:dyDescent="0.35">
      <c r="B275" s="25"/>
      <c r="C275" s="4"/>
      <c r="D275" s="5"/>
      <c r="E275" s="5"/>
      <c r="F275" s="5"/>
      <c r="G275" s="5"/>
      <c r="H275" s="5"/>
    </row>
    <row r="276" spans="2:8" x14ac:dyDescent="0.35">
      <c r="B276" s="25"/>
      <c r="C276" s="4"/>
      <c r="D276" s="5"/>
      <c r="E276" s="5"/>
      <c r="F276" s="5"/>
      <c r="G276" s="5"/>
      <c r="H276" s="5"/>
    </row>
    <row r="277" spans="2:8" x14ac:dyDescent="0.35">
      <c r="B277" s="25"/>
      <c r="C277" s="4"/>
      <c r="D277" s="5"/>
      <c r="E277" s="5"/>
      <c r="F277" s="5"/>
      <c r="G277" s="5"/>
      <c r="H277" s="5"/>
    </row>
    <row r="278" spans="2:8" x14ac:dyDescent="0.35">
      <c r="B278" s="25"/>
      <c r="C278" s="4"/>
      <c r="D278" s="5"/>
      <c r="E278" s="5"/>
      <c r="F278" s="5"/>
      <c r="G278" s="5"/>
      <c r="H278" s="5"/>
    </row>
    <row r="279" spans="2:8" x14ac:dyDescent="0.35">
      <c r="B279" s="25"/>
      <c r="C279" s="4"/>
      <c r="D279" s="5"/>
      <c r="E279" s="5"/>
      <c r="F279" s="5"/>
      <c r="G279" s="5"/>
      <c r="H279" s="5"/>
    </row>
    <row r="280" spans="2:8" x14ac:dyDescent="0.35">
      <c r="B280" s="25"/>
      <c r="C280" s="4"/>
      <c r="D280" s="5"/>
      <c r="E280" s="5"/>
      <c r="F280" s="5"/>
      <c r="G280" s="5"/>
      <c r="H280" s="5"/>
    </row>
    <row r="281" spans="2:8" x14ac:dyDescent="0.35">
      <c r="B281" s="25"/>
      <c r="C281" s="4"/>
      <c r="D281" s="5"/>
      <c r="E281" s="5"/>
      <c r="F281" s="5"/>
      <c r="G281" s="5"/>
      <c r="H281" s="5"/>
    </row>
    <row r="282" spans="2:8" x14ac:dyDescent="0.35">
      <c r="B282" s="25"/>
      <c r="C282" s="4"/>
      <c r="D282" s="5"/>
      <c r="E282" s="5"/>
      <c r="F282" s="5"/>
      <c r="G282" s="5"/>
      <c r="H282" s="5"/>
    </row>
    <row r="283" spans="2:8" x14ac:dyDescent="0.35">
      <c r="B283" s="25"/>
      <c r="C283" s="4"/>
      <c r="D283" s="5"/>
      <c r="E283" s="5"/>
      <c r="F283" s="5"/>
      <c r="G283" s="5"/>
      <c r="H283" s="5"/>
    </row>
    <row r="284" spans="2:8" x14ac:dyDescent="0.35">
      <c r="B284" s="25"/>
      <c r="C284" s="4"/>
      <c r="D284" s="5"/>
      <c r="E284" s="5"/>
      <c r="F284" s="5"/>
      <c r="G284" s="5"/>
      <c r="H284" s="5"/>
    </row>
    <row r="285" spans="2:8" x14ac:dyDescent="0.35">
      <c r="B285" s="25"/>
      <c r="C285" s="4"/>
      <c r="D285" s="5"/>
      <c r="E285" s="5"/>
      <c r="F285" s="5"/>
      <c r="G285" s="5"/>
      <c r="H285" s="5"/>
    </row>
    <row r="286" spans="2:8" x14ac:dyDescent="0.35">
      <c r="B286" s="25"/>
      <c r="C286" s="4"/>
      <c r="D286" s="5"/>
      <c r="E286" s="5"/>
      <c r="F286" s="5"/>
      <c r="G286" s="5"/>
      <c r="H286" s="5"/>
    </row>
    <row r="287" spans="2:8" x14ac:dyDescent="0.35">
      <c r="B287" s="25"/>
      <c r="C287" s="4"/>
      <c r="D287" s="5"/>
      <c r="E287" s="5"/>
      <c r="F287" s="5"/>
      <c r="G287" s="5"/>
      <c r="H287" s="5"/>
    </row>
    <row r="288" spans="2:8" x14ac:dyDescent="0.35">
      <c r="B288" s="25"/>
      <c r="C288" s="4"/>
      <c r="D288" s="5"/>
      <c r="E288" s="5"/>
      <c r="F288" s="5"/>
      <c r="G288" s="5"/>
      <c r="H288" s="5"/>
    </row>
    <row r="289" spans="2:8" x14ac:dyDescent="0.35">
      <c r="B289" s="25"/>
      <c r="C289" s="4"/>
      <c r="D289" s="5"/>
      <c r="E289" s="5"/>
      <c r="F289" s="5"/>
      <c r="G289" s="5"/>
      <c r="H289" s="5"/>
    </row>
    <row r="290" spans="2:8" x14ac:dyDescent="0.35">
      <c r="B290" s="25"/>
      <c r="C290" s="4"/>
      <c r="D290" s="5"/>
      <c r="E290" s="5"/>
      <c r="F290" s="5"/>
      <c r="G290" s="5"/>
      <c r="H290" s="5"/>
    </row>
    <row r="291" spans="2:8" x14ac:dyDescent="0.35">
      <c r="B291" s="25"/>
      <c r="C291" s="4"/>
      <c r="D291" s="5"/>
      <c r="E291" s="5"/>
      <c r="F291" s="5"/>
      <c r="G291" s="5"/>
      <c r="H291" s="5"/>
    </row>
    <row r="292" spans="2:8" x14ac:dyDescent="0.35">
      <c r="B292" s="25"/>
      <c r="C292" s="4"/>
      <c r="D292" s="5"/>
      <c r="E292" s="5"/>
      <c r="F292" s="5"/>
      <c r="G292" s="5"/>
      <c r="H292" s="5"/>
    </row>
    <row r="293" spans="2:8" x14ac:dyDescent="0.35">
      <c r="B293" s="25"/>
      <c r="C293" s="4"/>
      <c r="D293" s="5"/>
      <c r="E293" s="5"/>
      <c r="F293" s="5"/>
      <c r="G293" s="5"/>
      <c r="H293" s="5"/>
    </row>
    <row r="294" spans="2:8" x14ac:dyDescent="0.35">
      <c r="B294" s="25"/>
      <c r="C294" s="4"/>
      <c r="D294" s="5"/>
      <c r="E294" s="5"/>
      <c r="F294" s="5"/>
      <c r="G294" s="5"/>
      <c r="H294" s="5"/>
    </row>
    <row r="295" spans="2:8" x14ac:dyDescent="0.35">
      <c r="B295" s="25"/>
      <c r="C295" s="4"/>
      <c r="D295" s="5"/>
      <c r="E295" s="5"/>
      <c r="F295" s="5"/>
      <c r="G295" s="5"/>
      <c r="H295" s="5"/>
    </row>
    <row r="296" spans="2:8" x14ac:dyDescent="0.35">
      <c r="B296" s="25"/>
      <c r="C296" s="4"/>
      <c r="D296" s="5"/>
      <c r="E296" s="5"/>
      <c r="F296" s="5"/>
      <c r="G296" s="5"/>
      <c r="H296" s="5"/>
    </row>
    <row r="297" spans="2:8" x14ac:dyDescent="0.35">
      <c r="B297" s="25"/>
      <c r="C297" s="4"/>
      <c r="D297" s="5"/>
      <c r="E297" s="5"/>
      <c r="F297" s="5"/>
      <c r="G297" s="5"/>
      <c r="H297" s="5"/>
    </row>
    <row r="298" spans="2:8" x14ac:dyDescent="0.35">
      <c r="B298" s="25"/>
      <c r="C298" s="4"/>
      <c r="D298" s="5"/>
      <c r="E298" s="5"/>
      <c r="F298" s="5"/>
      <c r="G298" s="5"/>
      <c r="H298" s="5"/>
    </row>
    <row r="299" spans="2:8" x14ac:dyDescent="0.35">
      <c r="B299" s="25"/>
      <c r="C299" s="4"/>
      <c r="D299" s="5"/>
      <c r="E299" s="5"/>
      <c r="F299" s="5"/>
      <c r="G299" s="5"/>
      <c r="H299" s="5"/>
    </row>
    <row r="300" spans="2:8" x14ac:dyDescent="0.35">
      <c r="B300" s="25"/>
      <c r="C300" s="4"/>
      <c r="D300" s="5"/>
      <c r="E300" s="5"/>
      <c r="F300" s="5"/>
      <c r="G300" s="5"/>
      <c r="H300" s="5"/>
    </row>
    <row r="301" spans="2:8" x14ac:dyDescent="0.35">
      <c r="B301" s="25"/>
      <c r="C301" s="4"/>
      <c r="D301" s="5"/>
      <c r="E301" s="5"/>
      <c r="F301" s="5"/>
      <c r="G301" s="5"/>
      <c r="H301" s="5"/>
    </row>
    <row r="302" spans="2:8" x14ac:dyDescent="0.35">
      <c r="B302" s="25"/>
      <c r="C302" s="4"/>
      <c r="D302" s="5"/>
      <c r="E302" s="5"/>
      <c r="F302" s="5"/>
      <c r="G302" s="5"/>
      <c r="H302" s="5"/>
    </row>
    <row r="303" spans="2:8" x14ac:dyDescent="0.35">
      <c r="B303" s="25"/>
      <c r="C303" s="4"/>
      <c r="D303" s="5"/>
      <c r="E303" s="5"/>
      <c r="F303" s="5"/>
      <c r="G303" s="5"/>
      <c r="H303" s="5"/>
    </row>
    <row r="304" spans="2:8" x14ac:dyDescent="0.35">
      <c r="B304" s="25"/>
      <c r="C304" s="4"/>
      <c r="D304" s="5"/>
      <c r="E304" s="5"/>
      <c r="F304" s="5"/>
      <c r="G304" s="5"/>
      <c r="H304" s="5"/>
    </row>
    <row r="305" spans="2:8" x14ac:dyDescent="0.35">
      <c r="B305" s="25"/>
      <c r="C305" s="4"/>
      <c r="D305" s="5"/>
      <c r="E305" s="5"/>
      <c r="F305" s="5"/>
      <c r="G305" s="5"/>
      <c r="H305" s="5"/>
    </row>
    <row r="306" spans="2:8" x14ac:dyDescent="0.35">
      <c r="B306" s="25"/>
      <c r="C306" s="4"/>
      <c r="D306" s="5"/>
      <c r="E306" s="5"/>
      <c r="F306" s="5"/>
      <c r="G306" s="5"/>
      <c r="H306" s="5"/>
    </row>
    <row r="307" spans="2:8" x14ac:dyDescent="0.35">
      <c r="B307" s="25"/>
      <c r="C307" s="4"/>
      <c r="D307" s="5"/>
      <c r="E307" s="5"/>
      <c r="F307" s="5"/>
      <c r="G307" s="5"/>
      <c r="H307" s="5"/>
    </row>
    <row r="308" spans="2:8" x14ac:dyDescent="0.35">
      <c r="B308" s="25"/>
      <c r="C308" s="4"/>
      <c r="D308" s="5"/>
      <c r="E308" s="5"/>
      <c r="F308" s="5"/>
      <c r="G308" s="5"/>
      <c r="H308" s="5"/>
    </row>
    <row r="309" spans="2:8" x14ac:dyDescent="0.35">
      <c r="B309" s="25"/>
      <c r="C309" s="4"/>
      <c r="D309" s="5"/>
      <c r="E309" s="5"/>
      <c r="F309" s="5"/>
      <c r="G309" s="5"/>
      <c r="H309" s="5"/>
    </row>
    <row r="310" spans="2:8" x14ac:dyDescent="0.35">
      <c r="B310" s="25"/>
      <c r="C310" s="4"/>
      <c r="D310" s="5"/>
      <c r="E310" s="5"/>
      <c r="F310" s="5"/>
      <c r="G310" s="5"/>
      <c r="H310" s="5"/>
    </row>
    <row r="311" spans="2:8" x14ac:dyDescent="0.35">
      <c r="B311" s="25"/>
      <c r="C311" s="4"/>
      <c r="D311" s="5"/>
      <c r="E311" s="5"/>
      <c r="F311" s="5"/>
      <c r="G311" s="5"/>
      <c r="H311" s="5"/>
    </row>
    <row r="312" spans="2:8" x14ac:dyDescent="0.35">
      <c r="B312" s="25"/>
      <c r="C312" s="4"/>
      <c r="D312" s="5"/>
      <c r="E312" s="5"/>
      <c r="F312" s="5"/>
      <c r="G312" s="5"/>
      <c r="H312" s="5"/>
    </row>
    <row r="313" spans="2:8" x14ac:dyDescent="0.35">
      <c r="B313" s="25"/>
      <c r="C313" s="4"/>
      <c r="D313" s="5"/>
      <c r="E313" s="5"/>
      <c r="F313" s="5"/>
      <c r="G313" s="5"/>
      <c r="H313" s="5"/>
    </row>
    <row r="314" spans="2:8" x14ac:dyDescent="0.35">
      <c r="B314" s="25"/>
      <c r="C314" s="4"/>
      <c r="D314" s="5"/>
      <c r="E314" s="5"/>
      <c r="F314" s="5"/>
      <c r="G314" s="5"/>
      <c r="H314" s="5"/>
    </row>
    <row r="315" spans="2:8" x14ac:dyDescent="0.35">
      <c r="B315" s="25"/>
      <c r="C315" s="4"/>
      <c r="D315" s="5"/>
      <c r="E315" s="5"/>
      <c r="F315" s="5"/>
      <c r="G315" s="5"/>
      <c r="H315" s="5"/>
    </row>
    <row r="316" spans="2:8" x14ac:dyDescent="0.35">
      <c r="B316" s="25"/>
      <c r="C316" s="4"/>
      <c r="D316" s="5"/>
      <c r="E316" s="5"/>
      <c r="F316" s="5"/>
      <c r="G316" s="5"/>
      <c r="H316" s="5"/>
    </row>
    <row r="317" spans="2:8" x14ac:dyDescent="0.35">
      <c r="B317" s="25"/>
      <c r="C317" s="4"/>
      <c r="D317" s="5"/>
      <c r="E317" s="5"/>
      <c r="F317" s="5"/>
      <c r="G317" s="5"/>
      <c r="H317" s="5"/>
    </row>
    <row r="318" spans="2:8" x14ac:dyDescent="0.35">
      <c r="B318" s="25"/>
      <c r="C318" s="4"/>
      <c r="D318" s="5"/>
      <c r="E318" s="5"/>
      <c r="F318" s="5"/>
      <c r="G318" s="5"/>
      <c r="H318" s="5"/>
    </row>
    <row r="319" spans="2:8" x14ac:dyDescent="0.35">
      <c r="B319" s="25"/>
      <c r="C319" s="4"/>
      <c r="D319" s="5"/>
      <c r="E319" s="5"/>
      <c r="F319" s="5"/>
      <c r="G319" s="5"/>
      <c r="H319" s="5"/>
    </row>
    <row r="320" spans="2:8" x14ac:dyDescent="0.35">
      <c r="B320" s="25"/>
      <c r="C320" s="4"/>
      <c r="D320" s="5"/>
      <c r="E320" s="5"/>
      <c r="F320" s="5"/>
      <c r="G320" s="5"/>
      <c r="H320" s="5"/>
    </row>
    <row r="321" spans="2:8" x14ac:dyDescent="0.35">
      <c r="B321" s="25"/>
      <c r="C321" s="4"/>
      <c r="D321" s="5"/>
      <c r="E321" s="5"/>
      <c r="F321" s="5"/>
      <c r="G321" s="5"/>
      <c r="H321" s="5"/>
    </row>
    <row r="322" spans="2:8" x14ac:dyDescent="0.35">
      <c r="B322" s="25"/>
      <c r="C322" s="4"/>
      <c r="D322" s="5"/>
      <c r="E322" s="5"/>
      <c r="F322" s="5"/>
      <c r="G322" s="5"/>
      <c r="H322" s="5"/>
    </row>
    <row r="323" spans="2:8" x14ac:dyDescent="0.35">
      <c r="B323" s="25"/>
      <c r="C323" s="4"/>
      <c r="D323" s="5"/>
      <c r="E323" s="5"/>
      <c r="F323" s="5"/>
      <c r="G323" s="5"/>
      <c r="H323" s="5"/>
    </row>
    <row r="324" spans="2:8" x14ac:dyDescent="0.35">
      <c r="B324" s="25"/>
      <c r="C324" s="4"/>
      <c r="D324" s="5"/>
      <c r="E324" s="5"/>
      <c r="F324" s="5"/>
      <c r="G324" s="5"/>
      <c r="H324" s="5"/>
    </row>
    <row r="325" spans="2:8" x14ac:dyDescent="0.35">
      <c r="B325" s="25"/>
      <c r="C325" s="4"/>
      <c r="D325" s="5"/>
      <c r="E325" s="5"/>
      <c r="F325" s="5"/>
      <c r="G325" s="5"/>
      <c r="H325" s="5"/>
    </row>
    <row r="326" spans="2:8" x14ac:dyDescent="0.35">
      <c r="B326" s="25"/>
      <c r="C326" s="4"/>
      <c r="D326" s="5"/>
      <c r="E326" s="5"/>
      <c r="F326" s="5"/>
      <c r="G326" s="5"/>
      <c r="H326" s="5"/>
    </row>
    <row r="327" spans="2:8" x14ac:dyDescent="0.35">
      <c r="B327" s="25"/>
      <c r="C327" s="4"/>
      <c r="D327" s="5"/>
      <c r="E327" s="5"/>
      <c r="F327" s="5"/>
      <c r="G327" s="5"/>
      <c r="H327" s="5"/>
    </row>
    <row r="328" spans="2:8" x14ac:dyDescent="0.35">
      <c r="B328" s="25"/>
      <c r="C328" s="4"/>
      <c r="D328" s="5"/>
      <c r="E328" s="5"/>
      <c r="F328" s="5"/>
      <c r="G328" s="5"/>
      <c r="H328" s="5"/>
    </row>
    <row r="329" spans="2:8" x14ac:dyDescent="0.35">
      <c r="B329" s="25"/>
      <c r="C329" s="4"/>
      <c r="D329" s="5"/>
      <c r="E329" s="5"/>
      <c r="F329" s="5"/>
      <c r="G329" s="5"/>
      <c r="H329" s="5"/>
    </row>
    <row r="330" spans="2:8" x14ac:dyDescent="0.35">
      <c r="B330" s="25"/>
      <c r="C330" s="4"/>
      <c r="D330" s="5"/>
      <c r="E330" s="5"/>
      <c r="F330" s="5"/>
      <c r="G330" s="5"/>
      <c r="H330" s="5"/>
    </row>
    <row r="331" spans="2:8" x14ac:dyDescent="0.35">
      <c r="B331" s="25"/>
      <c r="C331" s="4"/>
      <c r="D331" s="5"/>
      <c r="E331" s="5"/>
      <c r="F331" s="5"/>
      <c r="G331" s="5"/>
      <c r="H331" s="5"/>
    </row>
    <row r="332" spans="2:8" x14ac:dyDescent="0.35">
      <c r="B332" s="25"/>
      <c r="C332" s="4"/>
      <c r="D332" s="5"/>
      <c r="E332" s="5"/>
      <c r="F332" s="5"/>
      <c r="G332" s="5"/>
      <c r="H332" s="5"/>
    </row>
    <row r="333" spans="2:8" x14ac:dyDescent="0.35">
      <c r="B333" s="25"/>
      <c r="C333" s="4"/>
      <c r="D333" s="5"/>
      <c r="E333" s="5"/>
      <c r="F333" s="5"/>
      <c r="G333" s="5"/>
      <c r="H333" s="5"/>
    </row>
    <row r="334" spans="2:8" x14ac:dyDescent="0.35">
      <c r="B334" s="25"/>
      <c r="C334" s="4"/>
      <c r="D334" s="5"/>
      <c r="E334" s="5"/>
      <c r="F334" s="5"/>
      <c r="G334" s="5"/>
      <c r="H334" s="5"/>
    </row>
    <row r="335" spans="2:8" x14ac:dyDescent="0.35">
      <c r="B335" s="25"/>
      <c r="C335" s="4"/>
      <c r="D335" s="5"/>
      <c r="E335" s="5"/>
      <c r="F335" s="5"/>
      <c r="G335" s="5"/>
      <c r="H335" s="5"/>
    </row>
    <row r="336" spans="2:8" x14ac:dyDescent="0.35">
      <c r="B336" s="25"/>
      <c r="C336" s="4"/>
      <c r="D336" s="5"/>
      <c r="E336" s="5"/>
      <c r="F336" s="5"/>
      <c r="G336" s="5"/>
      <c r="H336" s="5"/>
    </row>
    <row r="337" spans="2:8" x14ac:dyDescent="0.35">
      <c r="B337" s="25"/>
      <c r="C337" s="4"/>
      <c r="D337" s="5"/>
      <c r="E337" s="5"/>
      <c r="F337" s="5"/>
      <c r="G337" s="5"/>
      <c r="H337" s="5"/>
    </row>
    <row r="338" spans="2:8" x14ac:dyDescent="0.35">
      <c r="B338" s="25"/>
      <c r="C338" s="4"/>
      <c r="D338" s="5"/>
      <c r="E338" s="5"/>
      <c r="F338" s="5"/>
      <c r="G338" s="5"/>
      <c r="H338" s="5"/>
    </row>
    <row r="339" spans="2:8" x14ac:dyDescent="0.35">
      <c r="B339" s="25"/>
      <c r="C339" s="4"/>
      <c r="D339" s="5"/>
      <c r="E339" s="5"/>
      <c r="F339" s="5"/>
      <c r="G339" s="5"/>
      <c r="H339" s="5"/>
    </row>
    <row r="340" spans="2:8" x14ac:dyDescent="0.35">
      <c r="B340" s="25"/>
      <c r="C340" s="4"/>
      <c r="D340" s="5"/>
      <c r="E340" s="5"/>
      <c r="F340" s="5"/>
      <c r="G340" s="5"/>
      <c r="H340" s="5"/>
    </row>
    <row r="341" spans="2:8" x14ac:dyDescent="0.35">
      <c r="B341" s="25"/>
      <c r="C341" s="4"/>
      <c r="D341" s="5"/>
      <c r="E341" s="5"/>
      <c r="F341" s="5"/>
      <c r="G341" s="5"/>
      <c r="H341" s="5"/>
    </row>
    <row r="342" spans="2:8" x14ac:dyDescent="0.35">
      <c r="B342" s="25"/>
      <c r="C342" s="4"/>
      <c r="D342" s="5"/>
      <c r="E342" s="5"/>
      <c r="F342" s="5"/>
      <c r="G342" s="5"/>
      <c r="H342" s="5"/>
    </row>
    <row r="343" spans="2:8" x14ac:dyDescent="0.35">
      <c r="B343" s="25"/>
      <c r="C343" s="4"/>
      <c r="D343" s="5"/>
      <c r="E343" s="5"/>
      <c r="F343" s="5"/>
      <c r="G343" s="5"/>
      <c r="H343" s="5"/>
    </row>
    <row r="344" spans="2:8" x14ac:dyDescent="0.35">
      <c r="B344" s="25"/>
      <c r="C344" s="4"/>
      <c r="D344" s="5"/>
      <c r="E344" s="5"/>
      <c r="F344" s="5"/>
      <c r="G344" s="5"/>
      <c r="H344" s="5"/>
    </row>
    <row r="345" spans="2:8" x14ac:dyDescent="0.35">
      <c r="B345" s="25"/>
      <c r="C345" s="4"/>
      <c r="D345" s="5"/>
      <c r="E345" s="5"/>
      <c r="F345" s="5"/>
      <c r="G345" s="5"/>
      <c r="H345" s="5"/>
    </row>
    <row r="346" spans="2:8" x14ac:dyDescent="0.35">
      <c r="B346" s="25"/>
      <c r="C346" s="4"/>
      <c r="D346" s="5"/>
      <c r="E346" s="5"/>
      <c r="F346" s="5"/>
      <c r="G346" s="5"/>
      <c r="H346" s="5"/>
    </row>
    <row r="347" spans="2:8" x14ac:dyDescent="0.35">
      <c r="B347" s="25"/>
      <c r="C347" s="4"/>
      <c r="D347" s="5"/>
      <c r="E347" s="5"/>
      <c r="F347" s="5"/>
      <c r="G347" s="5"/>
      <c r="H347" s="5"/>
    </row>
    <row r="348" spans="2:8" x14ac:dyDescent="0.35">
      <c r="B348" s="25"/>
      <c r="C348" s="4"/>
      <c r="D348" s="5"/>
      <c r="E348" s="5"/>
      <c r="F348" s="5"/>
      <c r="G348" s="5"/>
      <c r="H348" s="5"/>
    </row>
    <row r="349" spans="2:8" x14ac:dyDescent="0.35">
      <c r="B349" s="25"/>
      <c r="C349" s="4"/>
      <c r="D349" s="5"/>
      <c r="E349" s="5"/>
      <c r="F349" s="5"/>
      <c r="G349" s="5"/>
      <c r="H349" s="5"/>
    </row>
    <row r="350" spans="2:8" x14ac:dyDescent="0.35">
      <c r="B350" s="25"/>
      <c r="C350" s="4"/>
      <c r="D350" s="5"/>
      <c r="E350" s="5"/>
      <c r="F350" s="5"/>
      <c r="G350" s="5"/>
      <c r="H350" s="5"/>
    </row>
    <row r="351" spans="2:8" x14ac:dyDescent="0.35">
      <c r="B351" s="25"/>
      <c r="C351" s="4"/>
      <c r="D351" s="5"/>
      <c r="E351" s="5"/>
      <c r="F351" s="5"/>
      <c r="G351" s="5"/>
      <c r="H351" s="5"/>
    </row>
    <row r="352" spans="2:8" x14ac:dyDescent="0.35">
      <c r="B352" s="25"/>
      <c r="C352" s="4"/>
      <c r="D352" s="5"/>
      <c r="E352" s="5"/>
      <c r="F352" s="5"/>
      <c r="G352" s="5"/>
      <c r="H352" s="5"/>
    </row>
    <row r="353" spans="2:8" x14ac:dyDescent="0.35">
      <c r="B353" s="25"/>
      <c r="C353" s="4"/>
      <c r="D353" s="5"/>
      <c r="E353" s="5"/>
      <c r="F353" s="5"/>
      <c r="G353" s="5"/>
      <c r="H353" s="5"/>
    </row>
    <row r="354" spans="2:8" x14ac:dyDescent="0.35">
      <c r="B354" s="25"/>
      <c r="C354" s="4"/>
      <c r="D354" s="5"/>
      <c r="E354" s="5"/>
      <c r="F354" s="5"/>
      <c r="G354" s="5"/>
      <c r="H354" s="5"/>
    </row>
    <row r="355" spans="2:8" x14ac:dyDescent="0.35">
      <c r="B355" s="25"/>
      <c r="C355" s="4"/>
      <c r="D355" s="5"/>
      <c r="E355" s="5"/>
      <c r="F355" s="5"/>
      <c r="G355" s="5"/>
      <c r="H355" s="5"/>
    </row>
    <row r="356" spans="2:8" x14ac:dyDescent="0.35">
      <c r="B356" s="25"/>
      <c r="C356" s="4"/>
      <c r="D356" s="5"/>
      <c r="E356" s="5"/>
      <c r="F356" s="5"/>
      <c r="G356" s="5"/>
      <c r="H356" s="5"/>
    </row>
    <row r="357" spans="2:8" x14ac:dyDescent="0.35">
      <c r="B357" s="25"/>
      <c r="C357" s="4"/>
      <c r="D357" s="5"/>
      <c r="E357" s="5"/>
      <c r="F357" s="5"/>
      <c r="G357" s="5"/>
      <c r="H357" s="5"/>
    </row>
    <row r="358" spans="2:8" x14ac:dyDescent="0.35">
      <c r="B358" s="25"/>
      <c r="C358" s="4"/>
      <c r="D358" s="5"/>
      <c r="E358" s="5"/>
      <c r="F358" s="5"/>
      <c r="G358" s="5"/>
      <c r="H358" s="5"/>
    </row>
    <row r="359" spans="2:8" x14ac:dyDescent="0.35">
      <c r="B359" s="25"/>
      <c r="C359" s="4"/>
      <c r="D359" s="5"/>
      <c r="E359" s="5"/>
      <c r="F359" s="5"/>
      <c r="G359" s="5"/>
      <c r="H359" s="5"/>
    </row>
    <row r="360" spans="2:8" x14ac:dyDescent="0.35">
      <c r="B360" s="25"/>
      <c r="C360" s="4"/>
      <c r="D360" s="5"/>
      <c r="E360" s="5"/>
      <c r="F360" s="5"/>
      <c r="G360" s="5"/>
      <c r="H360" s="5"/>
    </row>
    <row r="361" spans="2:8" x14ac:dyDescent="0.35">
      <c r="B361" s="25"/>
      <c r="C361" s="4"/>
      <c r="D361" s="5"/>
      <c r="E361" s="5"/>
      <c r="F361" s="5"/>
      <c r="G361" s="5"/>
      <c r="H361" s="5"/>
    </row>
    <row r="362" spans="2:8" x14ac:dyDescent="0.35">
      <c r="B362" s="25"/>
      <c r="C362" s="4"/>
      <c r="D362" s="5"/>
      <c r="E362" s="5"/>
      <c r="F362" s="5"/>
      <c r="G362" s="5"/>
      <c r="H362" s="5"/>
    </row>
    <row r="363" spans="2:8" x14ac:dyDescent="0.35">
      <c r="B363" s="25"/>
      <c r="C363" s="4"/>
      <c r="D363" s="5"/>
      <c r="E363" s="5"/>
      <c r="F363" s="5"/>
      <c r="G363" s="5"/>
      <c r="H363" s="5"/>
    </row>
    <row r="364" spans="2:8" x14ac:dyDescent="0.35">
      <c r="B364" s="25"/>
      <c r="C364" s="4"/>
      <c r="D364" s="5"/>
      <c r="E364" s="5"/>
      <c r="F364" s="5"/>
      <c r="G364" s="5"/>
      <c r="H364" s="5"/>
    </row>
    <row r="365" spans="2:8" x14ac:dyDescent="0.35">
      <c r="B365" s="25"/>
      <c r="C365" s="4"/>
      <c r="D365" s="5"/>
      <c r="E365" s="5"/>
      <c r="F365" s="5"/>
      <c r="G365" s="5"/>
      <c r="H365" s="5"/>
    </row>
    <row r="366" spans="2:8" x14ac:dyDescent="0.35">
      <c r="B366" s="25"/>
      <c r="C366" s="4"/>
      <c r="D366" s="5"/>
      <c r="E366" s="5"/>
      <c r="F366" s="5"/>
      <c r="G366" s="5"/>
      <c r="H366" s="5"/>
    </row>
    <row r="367" spans="2:8" x14ac:dyDescent="0.35">
      <c r="B367" s="25"/>
      <c r="C367" s="4"/>
      <c r="D367" s="5"/>
      <c r="E367" s="5"/>
      <c r="F367" s="5"/>
      <c r="G367" s="5"/>
      <c r="H367" s="5"/>
    </row>
    <row r="368" spans="2:8" x14ac:dyDescent="0.35">
      <c r="B368" s="25"/>
      <c r="C368" s="4"/>
      <c r="D368" s="5"/>
      <c r="E368" s="5"/>
      <c r="F368" s="5"/>
      <c r="G368" s="5"/>
      <c r="H368" s="5"/>
    </row>
    <row r="369" spans="2:8" x14ac:dyDescent="0.35">
      <c r="B369" s="25"/>
      <c r="C369" s="4"/>
      <c r="D369" s="5"/>
      <c r="E369" s="5"/>
      <c r="F369" s="5"/>
      <c r="G369" s="5"/>
      <c r="H369" s="5"/>
    </row>
    <row r="370" spans="2:8" x14ac:dyDescent="0.35">
      <c r="B370" s="25"/>
      <c r="C370" s="4"/>
      <c r="D370" s="5"/>
      <c r="E370" s="5"/>
      <c r="F370" s="5"/>
      <c r="G370" s="5"/>
      <c r="H370" s="5"/>
    </row>
    <row r="371" spans="2:8" x14ac:dyDescent="0.35">
      <c r="B371" s="25"/>
      <c r="C371" s="4"/>
      <c r="D371" s="5"/>
      <c r="E371" s="5"/>
      <c r="F371" s="5"/>
      <c r="G371" s="5"/>
      <c r="H371" s="5"/>
    </row>
    <row r="372" spans="2:8" x14ac:dyDescent="0.35">
      <c r="B372" s="25"/>
      <c r="C372" s="4"/>
      <c r="D372" s="5"/>
      <c r="E372" s="5"/>
      <c r="F372" s="5"/>
      <c r="G372" s="5"/>
      <c r="H372" s="5"/>
    </row>
    <row r="373" spans="2:8" x14ac:dyDescent="0.35">
      <c r="B373" s="25"/>
      <c r="C373" s="4"/>
      <c r="D373" s="5"/>
      <c r="E373" s="5"/>
      <c r="F373" s="5"/>
      <c r="G373" s="5"/>
      <c r="H373" s="5"/>
    </row>
    <row r="374" spans="2:8" x14ac:dyDescent="0.35">
      <c r="B374" s="25"/>
      <c r="C374" s="4"/>
      <c r="D374" s="5"/>
      <c r="E374" s="5"/>
      <c r="F374" s="5"/>
      <c r="G374" s="5"/>
      <c r="H374" s="5"/>
    </row>
    <row r="375" spans="2:8" x14ac:dyDescent="0.35">
      <c r="B375" s="25"/>
      <c r="C375" s="4"/>
      <c r="D375" s="5"/>
      <c r="E375" s="5"/>
      <c r="F375" s="5"/>
      <c r="G375" s="5"/>
      <c r="H375" s="5"/>
    </row>
    <row r="376" spans="2:8" x14ac:dyDescent="0.35">
      <c r="B376" s="25"/>
      <c r="C376" s="4"/>
      <c r="D376" s="5"/>
      <c r="E376" s="5"/>
      <c r="F376" s="5"/>
      <c r="G376" s="5"/>
      <c r="H376" s="5"/>
    </row>
    <row r="377" spans="2:8" x14ac:dyDescent="0.35">
      <c r="B377" s="25"/>
      <c r="C377" s="4"/>
      <c r="D377" s="5"/>
      <c r="E377" s="5"/>
      <c r="F377" s="5"/>
      <c r="G377" s="5"/>
      <c r="H377" s="5"/>
    </row>
    <row r="378" spans="2:8" x14ac:dyDescent="0.35">
      <c r="B378" s="25"/>
      <c r="C378" s="4"/>
      <c r="D378" s="5"/>
      <c r="E378" s="5"/>
      <c r="F378" s="5"/>
      <c r="G378" s="5"/>
      <c r="H378" s="5"/>
    </row>
    <row r="379" spans="2:8" x14ac:dyDescent="0.35">
      <c r="B379" s="25"/>
      <c r="C379" s="4"/>
      <c r="D379" s="5"/>
      <c r="E379" s="5"/>
      <c r="F379" s="5"/>
      <c r="G379" s="5"/>
      <c r="H379" s="5"/>
    </row>
    <row r="380" spans="2:8" x14ac:dyDescent="0.35">
      <c r="B380" s="25"/>
      <c r="C380" s="4"/>
      <c r="D380" s="5"/>
      <c r="E380" s="5"/>
      <c r="F380" s="5"/>
      <c r="G380" s="5"/>
      <c r="H380" s="5"/>
    </row>
    <row r="381" spans="2:8" x14ac:dyDescent="0.35">
      <c r="B381" s="25"/>
      <c r="C381" s="4"/>
      <c r="D381" s="5"/>
      <c r="E381" s="5"/>
      <c r="F381" s="5"/>
      <c r="G381" s="5"/>
      <c r="H381" s="5"/>
    </row>
    <row r="382" spans="2:8" x14ac:dyDescent="0.35">
      <c r="B382" s="25"/>
      <c r="C382" s="4"/>
      <c r="D382" s="5"/>
      <c r="E382" s="5"/>
      <c r="F382" s="5"/>
      <c r="G382" s="5"/>
      <c r="H382" s="5"/>
    </row>
    <row r="383" spans="2:8" x14ac:dyDescent="0.35">
      <c r="B383" s="25"/>
      <c r="C383" s="4"/>
      <c r="D383" s="5"/>
      <c r="E383" s="5"/>
      <c r="F383" s="5"/>
      <c r="G383" s="5"/>
      <c r="H383" s="5"/>
    </row>
    <row r="384" spans="2:8" x14ac:dyDescent="0.35">
      <c r="B384" s="25"/>
      <c r="C384" s="4"/>
      <c r="D384" s="5"/>
      <c r="E384" s="5"/>
      <c r="F384" s="5"/>
      <c r="G384" s="5"/>
      <c r="H384" s="5"/>
    </row>
    <row r="385" spans="2:8" x14ac:dyDescent="0.35">
      <c r="B385" s="25"/>
      <c r="C385" s="4"/>
      <c r="D385" s="5"/>
      <c r="E385" s="5"/>
      <c r="F385" s="5"/>
      <c r="G385" s="5"/>
      <c r="H385" s="5"/>
    </row>
    <row r="386" spans="2:8" x14ac:dyDescent="0.35">
      <c r="B386" s="25"/>
      <c r="C386" s="4"/>
      <c r="D386" s="5"/>
      <c r="E386" s="5"/>
      <c r="F386" s="5"/>
      <c r="G386" s="5"/>
      <c r="H386" s="5"/>
    </row>
    <row r="387" spans="2:8" x14ac:dyDescent="0.35">
      <c r="B387" s="25"/>
      <c r="C387" s="4"/>
      <c r="D387" s="5"/>
      <c r="E387" s="5"/>
      <c r="F387" s="5"/>
      <c r="G387" s="5"/>
      <c r="H387" s="5"/>
    </row>
    <row r="388" spans="2:8" x14ac:dyDescent="0.35">
      <c r="B388" s="25"/>
      <c r="C388" s="4"/>
      <c r="D388" s="5"/>
      <c r="E388" s="5"/>
      <c r="F388" s="5"/>
      <c r="G388" s="5"/>
      <c r="H388" s="5"/>
    </row>
    <row r="389" spans="2:8" x14ac:dyDescent="0.35">
      <c r="B389" s="25"/>
      <c r="C389" s="4"/>
      <c r="D389" s="5"/>
      <c r="E389" s="5"/>
      <c r="F389" s="5"/>
      <c r="G389" s="5"/>
      <c r="H389" s="5"/>
    </row>
    <row r="390" spans="2:8" x14ac:dyDescent="0.35">
      <c r="B390" s="25"/>
      <c r="C390" s="4"/>
      <c r="D390" s="5"/>
      <c r="E390" s="5"/>
      <c r="F390" s="5"/>
      <c r="G390" s="5"/>
      <c r="H390" s="5"/>
    </row>
    <row r="391" spans="2:8" x14ac:dyDescent="0.35">
      <c r="B391" s="25"/>
      <c r="C391" s="4"/>
      <c r="D391" s="5"/>
      <c r="E391" s="5"/>
      <c r="F391" s="5"/>
      <c r="G391" s="5"/>
      <c r="H391" s="5"/>
    </row>
    <row r="392" spans="2:8" x14ac:dyDescent="0.35">
      <c r="B392" s="25"/>
      <c r="C392" s="4"/>
      <c r="D392" s="5"/>
      <c r="E392" s="5"/>
      <c r="F392" s="5"/>
      <c r="G392" s="5"/>
      <c r="H392" s="5"/>
    </row>
    <row r="393" spans="2:8" x14ac:dyDescent="0.35">
      <c r="B393" s="25"/>
      <c r="C393" s="4"/>
      <c r="D393" s="5"/>
      <c r="E393" s="5"/>
      <c r="F393" s="5"/>
      <c r="G393" s="5"/>
      <c r="H393" s="5"/>
    </row>
    <row r="394" spans="2:8" x14ac:dyDescent="0.35">
      <c r="B394" s="25"/>
      <c r="C394" s="4"/>
      <c r="D394" s="5"/>
      <c r="E394" s="5"/>
      <c r="F394" s="5"/>
      <c r="G394" s="5"/>
      <c r="H394" s="5"/>
    </row>
    <row r="395" spans="2:8" x14ac:dyDescent="0.35">
      <c r="B395" s="25"/>
      <c r="C395" s="4"/>
      <c r="D395" s="5"/>
      <c r="E395" s="5"/>
      <c r="F395" s="5"/>
      <c r="G395" s="5"/>
      <c r="H395" s="5"/>
    </row>
    <row r="396" spans="2:8" x14ac:dyDescent="0.35">
      <c r="B396" s="25"/>
      <c r="C396" s="4"/>
      <c r="D396" s="5"/>
      <c r="E396" s="5"/>
      <c r="F396" s="5"/>
      <c r="G396" s="5"/>
      <c r="H396" s="5"/>
    </row>
    <row r="397" spans="2:8" x14ac:dyDescent="0.35">
      <c r="B397" s="25"/>
      <c r="C397" s="4"/>
      <c r="D397" s="5"/>
      <c r="E397" s="5"/>
      <c r="F397" s="5"/>
      <c r="G397" s="5"/>
      <c r="H397" s="5"/>
    </row>
    <row r="398" spans="2:8" x14ac:dyDescent="0.35">
      <c r="B398" s="25"/>
      <c r="C398" s="4"/>
      <c r="D398" s="5"/>
      <c r="E398" s="5"/>
      <c r="F398" s="5"/>
      <c r="G398" s="5"/>
      <c r="H398" s="5"/>
    </row>
    <row r="399" spans="2:8" x14ac:dyDescent="0.35">
      <c r="B399" s="25"/>
      <c r="C399" s="4"/>
      <c r="D399" s="5"/>
      <c r="E399" s="5"/>
      <c r="F399" s="5"/>
      <c r="G399" s="5"/>
      <c r="H399" s="5"/>
    </row>
    <row r="400" spans="2:8" x14ac:dyDescent="0.35">
      <c r="B400" s="25"/>
      <c r="C400" s="4"/>
      <c r="D400" s="5"/>
      <c r="E400" s="5"/>
      <c r="F400" s="5"/>
      <c r="G400" s="5"/>
      <c r="H400" s="5"/>
    </row>
    <row r="401" spans="2:8" x14ac:dyDescent="0.35">
      <c r="B401" s="25"/>
      <c r="C401" s="4"/>
      <c r="D401" s="5"/>
      <c r="E401" s="5"/>
      <c r="F401" s="5"/>
      <c r="G401" s="5"/>
      <c r="H401" s="5"/>
    </row>
    <row r="402" spans="2:8" x14ac:dyDescent="0.35">
      <c r="B402" s="25"/>
      <c r="C402" s="4"/>
      <c r="D402" s="5"/>
      <c r="E402" s="5"/>
      <c r="F402" s="5"/>
      <c r="G402" s="5"/>
      <c r="H402" s="5"/>
    </row>
    <row r="403" spans="2:8" x14ac:dyDescent="0.35">
      <c r="B403" s="25"/>
      <c r="C403" s="4"/>
      <c r="D403" s="5"/>
      <c r="E403" s="5"/>
      <c r="F403" s="5"/>
      <c r="G403" s="5"/>
      <c r="H403" s="5"/>
    </row>
    <row r="404" spans="2:8" x14ac:dyDescent="0.35">
      <c r="B404" s="25"/>
      <c r="C404" s="4"/>
      <c r="D404" s="5"/>
      <c r="E404" s="5"/>
      <c r="F404" s="5"/>
      <c r="G404" s="5"/>
      <c r="H404" s="5"/>
    </row>
    <row r="405" spans="2:8" x14ac:dyDescent="0.35">
      <c r="B405" s="25"/>
      <c r="C405" s="4"/>
      <c r="D405" s="5"/>
      <c r="E405" s="5"/>
      <c r="F405" s="5"/>
      <c r="G405" s="5"/>
      <c r="H405" s="5"/>
    </row>
    <row r="406" spans="2:8" x14ac:dyDescent="0.35">
      <c r="B406" s="25"/>
      <c r="C406" s="4"/>
      <c r="D406" s="5"/>
      <c r="E406" s="5"/>
      <c r="F406" s="5"/>
      <c r="G406" s="5"/>
      <c r="H406" s="5"/>
    </row>
    <row r="407" spans="2:8" x14ac:dyDescent="0.35">
      <c r="B407" s="25"/>
      <c r="C407" s="4"/>
      <c r="D407" s="5"/>
      <c r="E407" s="5"/>
      <c r="F407" s="5"/>
      <c r="G407" s="5"/>
      <c r="H407" s="5"/>
    </row>
    <row r="408" spans="2:8" x14ac:dyDescent="0.35">
      <c r="B408" s="25"/>
      <c r="C408" s="4"/>
      <c r="D408" s="5"/>
      <c r="E408" s="5"/>
      <c r="F408" s="5"/>
      <c r="G408" s="5"/>
      <c r="H408" s="5"/>
    </row>
    <row r="409" spans="2:8" x14ac:dyDescent="0.35">
      <c r="B409" s="25"/>
      <c r="C409" s="4"/>
      <c r="D409" s="5"/>
      <c r="E409" s="5"/>
      <c r="F409" s="5"/>
      <c r="G409" s="5"/>
      <c r="H409" s="5"/>
    </row>
    <row r="410" spans="2:8" x14ac:dyDescent="0.35">
      <c r="B410" s="25"/>
      <c r="C410" s="4"/>
      <c r="D410" s="5"/>
      <c r="E410" s="5"/>
      <c r="F410" s="5"/>
      <c r="G410" s="5"/>
      <c r="H410" s="5"/>
    </row>
    <row r="411" spans="2:8" x14ac:dyDescent="0.35">
      <c r="B411" s="25"/>
      <c r="C411" s="4"/>
      <c r="D411" s="5"/>
      <c r="E411" s="5"/>
      <c r="F411" s="5"/>
      <c r="G411" s="5"/>
      <c r="H411" s="5"/>
    </row>
    <row r="412" spans="2:8" x14ac:dyDescent="0.35">
      <c r="B412" s="25"/>
      <c r="C412" s="4"/>
      <c r="D412" s="5"/>
      <c r="E412" s="5"/>
      <c r="F412" s="5"/>
      <c r="G412" s="5"/>
      <c r="H412" s="5"/>
    </row>
    <row r="413" spans="2:8" x14ac:dyDescent="0.35">
      <c r="B413" s="25"/>
      <c r="C413" s="4"/>
      <c r="D413" s="5"/>
      <c r="E413" s="5"/>
      <c r="F413" s="5"/>
      <c r="G413" s="5"/>
      <c r="H413" s="5"/>
    </row>
    <row r="414" spans="2:8" x14ac:dyDescent="0.35">
      <c r="B414" s="25"/>
      <c r="C414" s="4"/>
      <c r="D414" s="5"/>
      <c r="E414" s="5"/>
      <c r="F414" s="5"/>
      <c r="G414" s="5"/>
      <c r="H414" s="5"/>
    </row>
    <row r="415" spans="2:8" x14ac:dyDescent="0.35">
      <c r="B415" s="25"/>
      <c r="C415" s="4"/>
      <c r="D415" s="5"/>
      <c r="E415" s="5"/>
      <c r="F415" s="5"/>
      <c r="G415" s="5"/>
      <c r="H415" s="5"/>
    </row>
    <row r="416" spans="2:8" x14ac:dyDescent="0.35">
      <c r="B416" s="25"/>
      <c r="C416" s="4"/>
      <c r="D416" s="5"/>
      <c r="E416" s="5"/>
      <c r="F416" s="5"/>
      <c r="G416" s="5"/>
      <c r="H416" s="5"/>
    </row>
    <row r="417" spans="2:8" x14ac:dyDescent="0.35">
      <c r="B417" s="25"/>
      <c r="C417" s="4"/>
      <c r="D417" s="5"/>
      <c r="E417" s="5"/>
      <c r="F417" s="5"/>
      <c r="G417" s="5"/>
      <c r="H417" s="5"/>
    </row>
    <row r="418" spans="2:8" x14ac:dyDescent="0.35">
      <c r="B418" s="25"/>
      <c r="C418" s="4"/>
      <c r="D418" s="5"/>
      <c r="E418" s="5"/>
      <c r="F418" s="5"/>
      <c r="G418" s="5"/>
      <c r="H418" s="5"/>
    </row>
    <row r="419" spans="2:8" x14ac:dyDescent="0.35">
      <c r="B419" s="25"/>
      <c r="C419" s="4"/>
      <c r="D419" s="5"/>
      <c r="E419" s="5"/>
      <c r="F419" s="5"/>
      <c r="G419" s="5"/>
      <c r="H419" s="5"/>
    </row>
    <row r="420" spans="2:8" x14ac:dyDescent="0.35">
      <c r="B420" s="25"/>
      <c r="C420" s="4"/>
      <c r="D420" s="5"/>
      <c r="E420" s="5"/>
      <c r="F420" s="5"/>
      <c r="G420" s="5"/>
      <c r="H420" s="5"/>
    </row>
    <row r="421" spans="2:8" x14ac:dyDescent="0.35">
      <c r="B421" s="25"/>
      <c r="C421" s="4"/>
      <c r="D421" s="5"/>
      <c r="E421" s="5"/>
      <c r="F421" s="5"/>
      <c r="G421" s="5"/>
      <c r="H421" s="5"/>
    </row>
    <row r="422" spans="2:8" x14ac:dyDescent="0.35">
      <c r="B422" s="25"/>
      <c r="C422" s="4"/>
      <c r="D422" s="5"/>
      <c r="E422" s="5"/>
      <c r="F422" s="5"/>
      <c r="G422" s="5"/>
      <c r="H422" s="5"/>
    </row>
    <row r="423" spans="2:8" x14ac:dyDescent="0.35">
      <c r="B423" s="25"/>
      <c r="C423" s="4"/>
      <c r="D423" s="5"/>
      <c r="E423" s="5"/>
      <c r="F423" s="5"/>
      <c r="G423" s="5"/>
      <c r="H423" s="5"/>
    </row>
    <row r="424" spans="2:8" x14ac:dyDescent="0.35">
      <c r="B424" s="25"/>
      <c r="C424" s="4"/>
      <c r="D424" s="5"/>
      <c r="E424" s="5"/>
      <c r="F424" s="5"/>
      <c r="G424" s="5"/>
      <c r="H424" s="5"/>
    </row>
    <row r="425" spans="2:8" x14ac:dyDescent="0.35">
      <c r="B425" s="25"/>
      <c r="C425" s="4"/>
      <c r="D425" s="5"/>
      <c r="E425" s="5"/>
      <c r="F425" s="5"/>
      <c r="G425" s="5"/>
      <c r="H425" s="5"/>
    </row>
    <row r="426" spans="2:8" x14ac:dyDescent="0.35">
      <c r="B426" s="25"/>
      <c r="C426" s="4"/>
      <c r="D426" s="5"/>
      <c r="E426" s="5"/>
      <c r="F426" s="5"/>
      <c r="G426" s="5"/>
      <c r="H426" s="5"/>
    </row>
    <row r="427" spans="2:8" x14ac:dyDescent="0.35">
      <c r="B427" s="25"/>
      <c r="C427" s="4"/>
      <c r="D427" s="5"/>
      <c r="E427" s="5"/>
      <c r="F427" s="5"/>
      <c r="G427" s="5"/>
      <c r="H427" s="5"/>
    </row>
    <row r="428" spans="2:8" x14ac:dyDescent="0.35">
      <c r="B428" s="25"/>
      <c r="C428" s="4"/>
      <c r="D428" s="5"/>
      <c r="E428" s="5"/>
      <c r="F428" s="5"/>
      <c r="G428" s="5"/>
      <c r="H428" s="5"/>
    </row>
    <row r="429" spans="2:8" x14ac:dyDescent="0.35">
      <c r="B429" s="25"/>
      <c r="C429" s="4"/>
      <c r="D429" s="5"/>
      <c r="E429" s="5"/>
      <c r="F429" s="5"/>
      <c r="G429" s="5"/>
      <c r="H429" s="5"/>
    </row>
    <row r="430" spans="2:8" x14ac:dyDescent="0.35">
      <c r="B430" s="25"/>
      <c r="C430" s="4"/>
      <c r="D430" s="5"/>
      <c r="E430" s="5"/>
      <c r="F430" s="5"/>
      <c r="G430" s="5"/>
      <c r="H430" s="5"/>
    </row>
    <row r="431" spans="2:8" x14ac:dyDescent="0.35">
      <c r="B431" s="25"/>
      <c r="C431" s="4"/>
      <c r="D431" s="5"/>
      <c r="E431" s="5"/>
      <c r="F431" s="5"/>
      <c r="G431" s="5"/>
      <c r="H431" s="5"/>
    </row>
    <row r="432" spans="2:8" x14ac:dyDescent="0.35">
      <c r="B432" s="25"/>
      <c r="C432" s="4"/>
      <c r="D432" s="5"/>
      <c r="E432" s="5"/>
      <c r="F432" s="5"/>
      <c r="G432" s="5"/>
      <c r="H432" s="5"/>
    </row>
    <row r="433" spans="2:8" x14ac:dyDescent="0.35">
      <c r="B433" s="25"/>
      <c r="C433" s="4"/>
      <c r="D433" s="5"/>
      <c r="E433" s="5"/>
      <c r="F433" s="5"/>
      <c r="G433" s="5"/>
      <c r="H433" s="5"/>
    </row>
    <row r="434" spans="2:8" x14ac:dyDescent="0.35">
      <c r="B434" s="25"/>
      <c r="C434" s="4"/>
      <c r="D434" s="5"/>
      <c r="E434" s="5"/>
      <c r="F434" s="5"/>
      <c r="G434" s="5"/>
      <c r="H434" s="5"/>
    </row>
    <row r="435" spans="2:8" x14ac:dyDescent="0.35">
      <c r="B435" s="25"/>
      <c r="C435" s="4"/>
      <c r="D435" s="5"/>
      <c r="E435" s="5"/>
      <c r="F435" s="5"/>
      <c r="G435" s="5"/>
      <c r="H435" s="5"/>
    </row>
    <row r="436" spans="2:8" x14ac:dyDescent="0.35">
      <c r="B436" s="25"/>
      <c r="C436" s="4"/>
      <c r="D436" s="5"/>
      <c r="E436" s="5"/>
      <c r="F436" s="5"/>
      <c r="G436" s="5"/>
      <c r="H436" s="5"/>
    </row>
    <row r="437" spans="2:8" x14ac:dyDescent="0.35">
      <c r="B437" s="25"/>
      <c r="C437" s="4"/>
      <c r="D437" s="5"/>
      <c r="E437" s="5"/>
      <c r="F437" s="5"/>
      <c r="G437" s="5"/>
      <c r="H437" s="5"/>
    </row>
    <row r="438" spans="2:8" x14ac:dyDescent="0.35">
      <c r="B438" s="25"/>
      <c r="C438" s="4"/>
      <c r="D438" s="5"/>
      <c r="E438" s="5"/>
      <c r="F438" s="5"/>
      <c r="G438" s="5"/>
      <c r="H438" s="5"/>
    </row>
    <row r="439" spans="2:8" x14ac:dyDescent="0.35">
      <c r="B439" s="25"/>
      <c r="C439" s="4"/>
      <c r="D439" s="5"/>
      <c r="E439" s="5"/>
      <c r="F439" s="5"/>
      <c r="G439" s="5"/>
      <c r="H439" s="5"/>
    </row>
    <row r="440" spans="2:8" x14ac:dyDescent="0.35">
      <c r="B440" s="25"/>
      <c r="C440" s="4"/>
      <c r="D440" s="5"/>
      <c r="E440" s="5"/>
      <c r="F440" s="5"/>
      <c r="G440" s="5"/>
      <c r="H440" s="5"/>
    </row>
    <row r="441" spans="2:8" x14ac:dyDescent="0.35">
      <c r="B441" s="25"/>
      <c r="C441" s="4"/>
      <c r="D441" s="5"/>
      <c r="E441" s="5"/>
      <c r="F441" s="5"/>
      <c r="G441" s="5"/>
      <c r="H441" s="5"/>
    </row>
    <row r="442" spans="2:8" x14ac:dyDescent="0.35">
      <c r="B442" s="25"/>
      <c r="C442" s="4"/>
      <c r="D442" s="5"/>
      <c r="E442" s="5"/>
      <c r="F442" s="5"/>
      <c r="G442" s="5"/>
      <c r="H442" s="5"/>
    </row>
    <row r="443" spans="2:8" x14ac:dyDescent="0.35">
      <c r="B443" s="25"/>
      <c r="C443" s="4"/>
      <c r="D443" s="5"/>
      <c r="E443" s="5"/>
      <c r="F443" s="5"/>
      <c r="G443" s="5"/>
      <c r="H443" s="5"/>
    </row>
    <row r="444" spans="2:8" x14ac:dyDescent="0.35">
      <c r="B444" s="25"/>
      <c r="C444" s="4"/>
      <c r="D444" s="5"/>
      <c r="E444" s="5"/>
      <c r="F444" s="5"/>
      <c r="G444" s="5"/>
      <c r="H444" s="5"/>
    </row>
    <row r="445" spans="2:8" x14ac:dyDescent="0.35">
      <c r="B445" s="25"/>
      <c r="C445" s="4"/>
      <c r="D445" s="5"/>
      <c r="E445" s="5"/>
      <c r="F445" s="5"/>
      <c r="G445" s="5"/>
      <c r="H445" s="5"/>
    </row>
    <row r="446" spans="2:8" x14ac:dyDescent="0.35">
      <c r="B446" s="25"/>
      <c r="C446" s="4"/>
      <c r="D446" s="5"/>
      <c r="E446" s="5"/>
      <c r="F446" s="5"/>
      <c r="G446" s="5"/>
      <c r="H446" s="5"/>
    </row>
    <row r="447" spans="2:8" x14ac:dyDescent="0.35">
      <c r="B447" s="25"/>
      <c r="C447" s="4"/>
      <c r="D447" s="5"/>
      <c r="E447" s="5"/>
      <c r="F447" s="5"/>
      <c r="G447" s="5"/>
      <c r="H447" s="5"/>
    </row>
    <row r="448" spans="2:8" x14ac:dyDescent="0.35">
      <c r="B448" s="25"/>
      <c r="C448" s="4"/>
      <c r="D448" s="5"/>
      <c r="E448" s="5"/>
      <c r="F448" s="5"/>
      <c r="G448" s="5"/>
      <c r="H448" s="5"/>
    </row>
    <row r="449" spans="2:8" x14ac:dyDescent="0.35">
      <c r="B449" s="25"/>
      <c r="C449" s="4"/>
      <c r="D449" s="5"/>
      <c r="E449" s="5"/>
      <c r="F449" s="5"/>
      <c r="G449" s="5"/>
      <c r="H449" s="5"/>
    </row>
    <row r="450" spans="2:8" x14ac:dyDescent="0.35">
      <c r="B450" s="25"/>
      <c r="C450" s="4"/>
      <c r="D450" s="5"/>
      <c r="E450" s="5"/>
      <c r="F450" s="5"/>
      <c r="G450" s="5"/>
      <c r="H450" s="5"/>
    </row>
    <row r="451" spans="2:8" x14ac:dyDescent="0.35">
      <c r="B451" s="25"/>
      <c r="C451" s="4"/>
      <c r="D451" s="5"/>
      <c r="E451" s="5"/>
      <c r="F451" s="5"/>
      <c r="G451" s="5"/>
      <c r="H451" s="5"/>
    </row>
    <row r="452" spans="2:8" x14ac:dyDescent="0.35">
      <c r="B452" s="25"/>
      <c r="C452" s="4"/>
      <c r="D452" s="5"/>
      <c r="E452" s="5"/>
      <c r="F452" s="5"/>
      <c r="G452" s="5"/>
      <c r="H452" s="5"/>
    </row>
    <row r="453" spans="2:8" x14ac:dyDescent="0.35">
      <c r="B453" s="25"/>
      <c r="C453" s="4"/>
      <c r="D453" s="5"/>
      <c r="E453" s="5"/>
      <c r="F453" s="5"/>
      <c r="G453" s="5"/>
      <c r="H453" s="5"/>
    </row>
    <row r="454" spans="2:8" x14ac:dyDescent="0.35">
      <c r="B454" s="25"/>
      <c r="C454" s="4"/>
      <c r="D454" s="5"/>
      <c r="E454" s="5"/>
      <c r="F454" s="5"/>
      <c r="G454" s="5"/>
      <c r="H454" s="5"/>
    </row>
    <row r="455" spans="2:8" x14ac:dyDescent="0.35">
      <c r="B455" s="25"/>
      <c r="C455" s="4"/>
      <c r="D455" s="5"/>
      <c r="E455" s="5"/>
      <c r="F455" s="5"/>
      <c r="G455" s="5"/>
      <c r="H455" s="5"/>
    </row>
    <row r="456" spans="2:8" x14ac:dyDescent="0.35">
      <c r="B456" s="25"/>
      <c r="C456" s="4"/>
      <c r="D456" s="5"/>
      <c r="E456" s="5"/>
      <c r="F456" s="5"/>
      <c r="G456" s="5"/>
      <c r="H456" s="5"/>
    </row>
    <row r="457" spans="2:8" x14ac:dyDescent="0.35">
      <c r="B457" s="25"/>
      <c r="C457" s="4"/>
      <c r="D457" s="5"/>
      <c r="E457" s="5"/>
      <c r="F457" s="5"/>
      <c r="G457" s="5"/>
      <c r="H457" s="5"/>
    </row>
    <row r="458" spans="2:8" x14ac:dyDescent="0.35">
      <c r="B458" s="25"/>
      <c r="C458" s="4"/>
      <c r="D458" s="5"/>
      <c r="E458" s="5"/>
      <c r="F458" s="5"/>
      <c r="G458" s="5"/>
      <c r="H458" s="5"/>
    </row>
    <row r="459" spans="2:8" x14ac:dyDescent="0.35">
      <c r="B459" s="25"/>
      <c r="C459" s="4"/>
      <c r="D459" s="5"/>
      <c r="E459" s="5"/>
      <c r="F459" s="5"/>
      <c r="G459" s="5"/>
      <c r="H459" s="5"/>
    </row>
    <row r="460" spans="2:8" x14ac:dyDescent="0.35">
      <c r="B460" s="25"/>
      <c r="C460" s="4"/>
      <c r="D460" s="5"/>
      <c r="E460" s="5"/>
      <c r="F460" s="5"/>
      <c r="G460" s="5"/>
      <c r="H460" s="5"/>
    </row>
    <row r="461" spans="2:8" x14ac:dyDescent="0.35">
      <c r="B461" s="25"/>
      <c r="C461" s="4"/>
      <c r="D461" s="5"/>
      <c r="E461" s="5"/>
      <c r="F461" s="5"/>
      <c r="G461" s="5"/>
      <c r="H461" s="5"/>
    </row>
    <row r="462" spans="2:8" x14ac:dyDescent="0.35">
      <c r="B462" s="25"/>
      <c r="C462" s="4"/>
      <c r="D462" s="5"/>
      <c r="E462" s="5"/>
      <c r="F462" s="5"/>
      <c r="G462" s="5"/>
      <c r="H462" s="5"/>
    </row>
    <row r="463" spans="2:8" x14ac:dyDescent="0.35">
      <c r="B463" s="25"/>
      <c r="C463" s="4"/>
      <c r="D463" s="5"/>
      <c r="E463" s="5"/>
      <c r="F463" s="5"/>
      <c r="G463" s="5"/>
      <c r="H463" s="5"/>
    </row>
    <row r="464" spans="2:8" x14ac:dyDescent="0.35">
      <c r="B464" s="25"/>
      <c r="C464" s="4"/>
      <c r="D464" s="5"/>
      <c r="E464" s="5"/>
      <c r="F464" s="5"/>
      <c r="G464" s="5"/>
      <c r="H464" s="5"/>
    </row>
    <row r="465" spans="2:8" x14ac:dyDescent="0.35">
      <c r="B465" s="25"/>
      <c r="C465" s="4"/>
      <c r="D465" s="5"/>
      <c r="E465" s="5"/>
      <c r="F465" s="5"/>
      <c r="G465" s="5"/>
      <c r="H465" s="5"/>
    </row>
    <row r="466" spans="2:8" x14ac:dyDescent="0.35">
      <c r="B466" s="25"/>
      <c r="C466" s="4"/>
      <c r="D466" s="5"/>
      <c r="E466" s="5"/>
      <c r="F466" s="5"/>
      <c r="G466" s="5"/>
      <c r="H466" s="5"/>
    </row>
    <row r="467" spans="2:8" x14ac:dyDescent="0.35">
      <c r="B467" s="25"/>
      <c r="C467" s="4"/>
      <c r="D467" s="5"/>
      <c r="E467" s="5"/>
      <c r="F467" s="5"/>
      <c r="G467" s="5"/>
      <c r="H467" s="5"/>
    </row>
    <row r="468" spans="2:8" x14ac:dyDescent="0.35">
      <c r="B468" s="25"/>
      <c r="C468" s="4"/>
      <c r="D468" s="5"/>
      <c r="E468" s="5"/>
      <c r="F468" s="5"/>
      <c r="G468" s="5"/>
      <c r="H468" s="5"/>
    </row>
    <row r="469" spans="2:8" x14ac:dyDescent="0.35">
      <c r="B469" s="25"/>
      <c r="C469" s="4"/>
      <c r="D469" s="5"/>
      <c r="E469" s="5"/>
      <c r="F469" s="5"/>
      <c r="G469" s="5"/>
      <c r="H469" s="5"/>
    </row>
    <row r="470" spans="2:8" x14ac:dyDescent="0.35">
      <c r="B470" s="25"/>
      <c r="C470" s="4"/>
      <c r="D470" s="5"/>
      <c r="E470" s="5"/>
      <c r="F470" s="5"/>
      <c r="G470" s="5"/>
      <c r="H470" s="5"/>
    </row>
    <row r="471" spans="2:8" x14ac:dyDescent="0.35">
      <c r="B471" s="25"/>
      <c r="C471" s="4"/>
      <c r="D471" s="5"/>
      <c r="E471" s="5"/>
      <c r="F471" s="5"/>
      <c r="G471" s="5"/>
      <c r="H471" s="5"/>
    </row>
    <row r="472" spans="2:8" x14ac:dyDescent="0.35">
      <c r="B472" s="25"/>
      <c r="C472" s="4"/>
      <c r="D472" s="5"/>
      <c r="E472" s="5"/>
      <c r="F472" s="5"/>
      <c r="G472" s="5"/>
      <c r="H472" s="5"/>
    </row>
    <row r="473" spans="2:8" x14ac:dyDescent="0.35">
      <c r="B473" s="25"/>
      <c r="C473" s="4"/>
      <c r="D473" s="5"/>
      <c r="E473" s="5"/>
      <c r="F473" s="5"/>
      <c r="G473" s="5"/>
      <c r="H473" s="5"/>
    </row>
    <row r="474" spans="2:8" x14ac:dyDescent="0.35">
      <c r="B474" s="25"/>
      <c r="C474" s="4"/>
      <c r="D474" s="5"/>
      <c r="E474" s="5"/>
      <c r="F474" s="5"/>
      <c r="G474" s="5"/>
      <c r="H474" s="5"/>
    </row>
    <row r="475" spans="2:8" x14ac:dyDescent="0.35">
      <c r="B475" s="25"/>
      <c r="C475" s="4"/>
      <c r="D475" s="5"/>
      <c r="E475" s="5"/>
      <c r="F475" s="5"/>
      <c r="G475" s="5"/>
      <c r="H475" s="5"/>
    </row>
    <row r="476" spans="2:8" x14ac:dyDescent="0.35">
      <c r="B476" s="25"/>
      <c r="C476" s="4"/>
      <c r="D476" s="5"/>
      <c r="E476" s="5"/>
      <c r="F476" s="5"/>
      <c r="G476" s="5"/>
      <c r="H476" s="5"/>
    </row>
    <row r="477" spans="2:8" x14ac:dyDescent="0.35">
      <c r="B477" s="25"/>
      <c r="C477" s="4"/>
      <c r="D477" s="5"/>
      <c r="E477" s="5"/>
      <c r="F477" s="5"/>
      <c r="G477" s="5"/>
      <c r="H477" s="5"/>
    </row>
    <row r="478" spans="2:8" x14ac:dyDescent="0.35">
      <c r="B478" s="25"/>
      <c r="C478" s="4"/>
      <c r="D478" s="5"/>
      <c r="E478" s="5"/>
      <c r="F478" s="5"/>
      <c r="G478" s="5"/>
      <c r="H478" s="5"/>
    </row>
    <row r="479" spans="2:8" x14ac:dyDescent="0.35">
      <c r="B479" s="25"/>
      <c r="C479" s="4"/>
      <c r="D479" s="5"/>
      <c r="E479" s="5"/>
      <c r="F479" s="5"/>
      <c r="G479" s="5"/>
      <c r="H479" s="5"/>
    </row>
    <row r="480" spans="2:8" x14ac:dyDescent="0.35">
      <c r="B480" s="25"/>
      <c r="C480" s="4"/>
      <c r="D480" s="5"/>
      <c r="E480" s="5"/>
      <c r="F480" s="5"/>
      <c r="G480" s="5"/>
      <c r="H480" s="5"/>
    </row>
    <row r="481" spans="2:8" x14ac:dyDescent="0.35">
      <c r="B481" s="25"/>
      <c r="C481" s="4"/>
      <c r="D481" s="5"/>
      <c r="E481" s="5"/>
      <c r="F481" s="5"/>
      <c r="G481" s="5"/>
      <c r="H481" s="5"/>
    </row>
    <row r="482" spans="2:8" x14ac:dyDescent="0.35">
      <c r="B482" s="25"/>
      <c r="C482" s="4"/>
      <c r="D482" s="5"/>
      <c r="E482" s="5"/>
      <c r="F482" s="5"/>
      <c r="G482" s="5"/>
      <c r="H482" s="5"/>
    </row>
    <row r="483" spans="2:8" x14ac:dyDescent="0.35">
      <c r="B483" s="25"/>
      <c r="C483" s="4"/>
      <c r="D483" s="5"/>
      <c r="E483" s="5"/>
      <c r="F483" s="5"/>
      <c r="G483" s="5"/>
      <c r="H483" s="5"/>
    </row>
    <row r="484" spans="2:8" x14ac:dyDescent="0.35">
      <c r="B484" s="25"/>
      <c r="C484" s="4"/>
      <c r="D484" s="5"/>
      <c r="E484" s="5"/>
      <c r="F484" s="5"/>
      <c r="G484" s="5"/>
      <c r="H484" s="5"/>
    </row>
    <row r="485" spans="2:8" x14ac:dyDescent="0.35">
      <c r="B485" s="25"/>
      <c r="C485" s="4"/>
      <c r="D485" s="5"/>
      <c r="E485" s="5"/>
      <c r="F485" s="5"/>
      <c r="G485" s="5"/>
      <c r="H485" s="5"/>
    </row>
    <row r="486" spans="2:8" x14ac:dyDescent="0.35">
      <c r="B486" s="25"/>
      <c r="C486" s="4"/>
      <c r="D486" s="5"/>
      <c r="E486" s="5"/>
      <c r="F486" s="5"/>
      <c r="G486" s="5"/>
      <c r="H486" s="5"/>
    </row>
    <row r="487" spans="2:8" x14ac:dyDescent="0.35">
      <c r="B487" s="25"/>
      <c r="C487" s="4"/>
      <c r="D487" s="5"/>
      <c r="E487" s="5"/>
      <c r="F487" s="5"/>
      <c r="G487" s="5"/>
      <c r="H487" s="5"/>
    </row>
    <row r="488" spans="2:8" x14ac:dyDescent="0.35">
      <c r="B488" s="25"/>
      <c r="C488" s="4"/>
      <c r="D488" s="5"/>
      <c r="E488" s="5"/>
      <c r="F488" s="5"/>
      <c r="G488" s="5"/>
      <c r="H488" s="5"/>
    </row>
    <row r="489" spans="2:8" x14ac:dyDescent="0.35">
      <c r="B489" s="25"/>
      <c r="C489" s="4"/>
      <c r="D489" s="5"/>
      <c r="E489" s="5"/>
      <c r="F489" s="5"/>
      <c r="G489" s="5"/>
      <c r="H489" s="5"/>
    </row>
    <row r="490" spans="2:8" x14ac:dyDescent="0.35">
      <c r="B490" s="25"/>
      <c r="C490" s="4"/>
      <c r="D490" s="5"/>
      <c r="E490" s="5"/>
      <c r="F490" s="5"/>
      <c r="G490" s="5"/>
      <c r="H490" s="5"/>
    </row>
    <row r="491" spans="2:8" x14ac:dyDescent="0.35">
      <c r="B491" s="25"/>
      <c r="C491" s="4"/>
      <c r="D491" s="5"/>
      <c r="E491" s="5"/>
      <c r="F491" s="5"/>
      <c r="G491" s="5"/>
      <c r="H491" s="5"/>
    </row>
    <row r="492" spans="2:8" x14ac:dyDescent="0.35">
      <c r="B492" s="25"/>
      <c r="C492" s="4"/>
      <c r="D492" s="5"/>
      <c r="E492" s="5"/>
      <c r="F492" s="5"/>
      <c r="G492" s="5"/>
      <c r="H492" s="5"/>
    </row>
    <row r="493" spans="2:8" x14ac:dyDescent="0.35">
      <c r="B493" s="25"/>
      <c r="C493" s="4"/>
      <c r="D493" s="5"/>
      <c r="E493" s="5"/>
      <c r="F493" s="5"/>
      <c r="G493" s="5"/>
      <c r="H493" s="5"/>
    </row>
    <row r="494" spans="2:8" x14ac:dyDescent="0.35">
      <c r="B494" s="25"/>
      <c r="C494" s="4"/>
      <c r="D494" s="5"/>
      <c r="E494" s="5"/>
      <c r="F494" s="5"/>
      <c r="G494" s="5"/>
      <c r="H494" s="5"/>
    </row>
    <row r="495" spans="2:8" x14ac:dyDescent="0.35">
      <c r="B495" s="25"/>
      <c r="C495" s="4"/>
      <c r="D495" s="5"/>
      <c r="E495" s="5"/>
      <c r="F495" s="5"/>
      <c r="G495" s="5"/>
      <c r="H495" s="5"/>
    </row>
    <row r="496" spans="2:8" x14ac:dyDescent="0.35">
      <c r="B496" s="25"/>
      <c r="C496" s="4"/>
      <c r="D496" s="5"/>
      <c r="E496" s="5"/>
      <c r="F496" s="5"/>
      <c r="G496" s="5"/>
      <c r="H496" s="5"/>
    </row>
    <row r="497" spans="2:8" x14ac:dyDescent="0.35">
      <c r="B497" s="25"/>
      <c r="C497" s="4"/>
      <c r="D497" s="5"/>
      <c r="E497" s="5"/>
      <c r="F497" s="5"/>
      <c r="G497" s="5"/>
      <c r="H497" s="5"/>
    </row>
    <row r="498" spans="2:8" x14ac:dyDescent="0.35">
      <c r="B498" s="25"/>
      <c r="C498" s="4"/>
      <c r="D498" s="5"/>
      <c r="E498" s="5"/>
      <c r="F498" s="5"/>
      <c r="G498" s="5"/>
      <c r="H498" s="5"/>
    </row>
    <row r="499" spans="2:8" x14ac:dyDescent="0.35">
      <c r="B499" s="25"/>
      <c r="C499" s="4"/>
      <c r="D499" s="5"/>
      <c r="E499" s="5"/>
      <c r="F499" s="5"/>
      <c r="G499" s="5"/>
      <c r="H499" s="5"/>
    </row>
    <row r="500" spans="2:8" x14ac:dyDescent="0.35">
      <c r="B500" s="25"/>
      <c r="C500" s="4"/>
      <c r="D500" s="5"/>
      <c r="E500" s="5"/>
      <c r="F500" s="5"/>
      <c r="G500" s="5"/>
      <c r="H500" s="5"/>
    </row>
    <row r="501" spans="2:8" x14ac:dyDescent="0.35">
      <c r="B501" s="25"/>
      <c r="C501" s="4"/>
      <c r="D501" s="5"/>
      <c r="E501" s="5"/>
      <c r="F501" s="5"/>
      <c r="G501" s="5"/>
      <c r="H501" s="5"/>
    </row>
    <row r="502" spans="2:8" x14ac:dyDescent="0.35">
      <c r="B502" s="25"/>
      <c r="C502" s="4"/>
      <c r="D502" s="5"/>
      <c r="E502" s="5"/>
      <c r="F502" s="5"/>
      <c r="G502" s="5"/>
      <c r="H502" s="5"/>
    </row>
    <row r="503" spans="2:8" x14ac:dyDescent="0.35">
      <c r="B503" s="25"/>
      <c r="C503" s="4"/>
      <c r="D503" s="5"/>
      <c r="E503" s="5"/>
      <c r="F503" s="5"/>
      <c r="G503" s="5"/>
      <c r="H503" s="5"/>
    </row>
    <row r="504" spans="2:8" x14ac:dyDescent="0.35">
      <c r="B504" s="25"/>
      <c r="C504" s="4"/>
      <c r="D504" s="5"/>
      <c r="E504" s="5"/>
      <c r="F504" s="5"/>
      <c r="G504" s="5"/>
      <c r="H504" s="5"/>
    </row>
    <row r="505" spans="2:8" x14ac:dyDescent="0.35">
      <c r="B505" s="25"/>
      <c r="C505" s="4"/>
      <c r="D505" s="5"/>
      <c r="E505" s="5"/>
      <c r="F505" s="5"/>
      <c r="G505" s="5"/>
      <c r="H505" s="5"/>
    </row>
    <row r="506" spans="2:8" x14ac:dyDescent="0.35">
      <c r="B506" s="25"/>
      <c r="C506" s="4"/>
      <c r="D506" s="5"/>
      <c r="E506" s="5"/>
      <c r="F506" s="5"/>
      <c r="G506" s="5"/>
      <c r="H506" s="5"/>
    </row>
    <row r="507" spans="2:8" x14ac:dyDescent="0.35">
      <c r="B507" s="25"/>
      <c r="C507" s="4"/>
      <c r="D507" s="5"/>
      <c r="E507" s="5"/>
      <c r="F507" s="5"/>
      <c r="G507" s="5"/>
      <c r="H507" s="5"/>
    </row>
    <row r="508" spans="2:8" x14ac:dyDescent="0.35">
      <c r="B508" s="25"/>
      <c r="C508" s="4"/>
      <c r="D508" s="5"/>
      <c r="E508" s="5"/>
      <c r="F508" s="5"/>
      <c r="G508" s="5"/>
      <c r="H508" s="5"/>
    </row>
    <row r="509" spans="2:8" x14ac:dyDescent="0.35">
      <c r="B509" s="25"/>
      <c r="C509" s="4"/>
      <c r="D509" s="5"/>
      <c r="E509" s="5"/>
      <c r="F509" s="5"/>
      <c r="G509" s="5"/>
      <c r="H509" s="5"/>
    </row>
    <row r="510" spans="2:8" x14ac:dyDescent="0.35">
      <c r="B510" s="25"/>
      <c r="C510" s="4"/>
      <c r="D510" s="5"/>
      <c r="E510" s="5"/>
      <c r="F510" s="5"/>
      <c r="G510" s="5"/>
      <c r="H510" s="5"/>
    </row>
    <row r="511" spans="2:8" x14ac:dyDescent="0.35">
      <c r="B511" s="25"/>
      <c r="C511" s="4"/>
      <c r="D511" s="5"/>
      <c r="E511" s="5"/>
      <c r="F511" s="5"/>
      <c r="G511" s="5"/>
      <c r="H511" s="5"/>
    </row>
    <row r="512" spans="2:8" x14ac:dyDescent="0.35">
      <c r="B512" s="25"/>
      <c r="C512" s="4"/>
      <c r="D512" s="5"/>
      <c r="E512" s="5"/>
      <c r="F512" s="5"/>
      <c r="G512" s="5"/>
      <c r="H512" s="5"/>
    </row>
    <row r="513" spans="2:8" x14ac:dyDescent="0.35">
      <c r="B513" s="25"/>
      <c r="C513" s="4"/>
      <c r="D513" s="5"/>
      <c r="E513" s="5"/>
      <c r="F513" s="5"/>
      <c r="G513" s="5"/>
      <c r="H513" s="5"/>
    </row>
    <row r="514" spans="2:8" x14ac:dyDescent="0.35">
      <c r="B514" s="25"/>
      <c r="C514" s="4"/>
      <c r="D514" s="5"/>
      <c r="E514" s="5"/>
      <c r="F514" s="5"/>
      <c r="G514" s="5"/>
      <c r="H514" s="5"/>
    </row>
    <row r="515" spans="2:8" x14ac:dyDescent="0.35">
      <c r="B515" s="25"/>
      <c r="C515" s="4"/>
      <c r="D515" s="5"/>
      <c r="E515" s="5"/>
      <c r="F515" s="5"/>
      <c r="G515" s="5"/>
      <c r="H515" s="5"/>
    </row>
    <row r="516" spans="2:8" x14ac:dyDescent="0.35">
      <c r="B516" s="25"/>
      <c r="C516" s="4"/>
      <c r="D516" s="5"/>
      <c r="E516" s="5"/>
      <c r="F516" s="5"/>
      <c r="G516" s="5"/>
      <c r="H516" s="5"/>
    </row>
    <row r="517" spans="2:8" x14ac:dyDescent="0.35">
      <c r="B517" s="25"/>
      <c r="C517" s="4"/>
      <c r="D517" s="5"/>
      <c r="E517" s="5"/>
      <c r="F517" s="5"/>
      <c r="G517" s="5"/>
      <c r="H517" s="5"/>
    </row>
    <row r="518" spans="2:8" x14ac:dyDescent="0.35">
      <c r="B518" s="25"/>
      <c r="C518" s="4"/>
      <c r="D518" s="5"/>
      <c r="E518" s="5"/>
      <c r="F518" s="5"/>
      <c r="G518" s="5"/>
      <c r="H518" s="5"/>
    </row>
    <row r="519" spans="2:8" x14ac:dyDescent="0.35">
      <c r="B519" s="25"/>
      <c r="C519" s="4"/>
      <c r="D519" s="5"/>
      <c r="E519" s="5"/>
      <c r="F519" s="5"/>
      <c r="G519" s="5"/>
      <c r="H519" s="5"/>
    </row>
    <row r="520" spans="2:8" x14ac:dyDescent="0.35">
      <c r="B520" s="25"/>
      <c r="C520" s="4"/>
      <c r="D520" s="5"/>
      <c r="E520" s="5"/>
      <c r="F520" s="5"/>
      <c r="G520" s="5"/>
      <c r="H520" s="5"/>
    </row>
    <row r="521" spans="2:8" x14ac:dyDescent="0.35">
      <c r="B521" s="25"/>
      <c r="C521" s="4"/>
      <c r="D521" s="5"/>
      <c r="E521" s="5"/>
      <c r="F521" s="5"/>
      <c r="G521" s="5"/>
      <c r="H521" s="5"/>
    </row>
    <row r="522" spans="2:8" x14ac:dyDescent="0.35">
      <c r="B522" s="25"/>
      <c r="C522" s="4"/>
      <c r="D522" s="5"/>
      <c r="E522" s="5"/>
      <c r="F522" s="5"/>
      <c r="G522" s="5"/>
      <c r="H522" s="5"/>
    </row>
    <row r="523" spans="2:8" x14ac:dyDescent="0.35">
      <c r="B523" s="25"/>
      <c r="C523" s="4"/>
      <c r="D523" s="5"/>
      <c r="E523" s="5"/>
      <c r="F523" s="5"/>
      <c r="G523" s="5"/>
      <c r="H523" s="5"/>
    </row>
    <row r="524" spans="2:8" x14ac:dyDescent="0.35">
      <c r="B524" s="25"/>
      <c r="C524" s="4"/>
      <c r="D524" s="5"/>
      <c r="E524" s="5"/>
      <c r="F524" s="5"/>
      <c r="G524" s="5"/>
      <c r="H524" s="5"/>
    </row>
    <row r="525" spans="2:8" x14ac:dyDescent="0.35">
      <c r="B525" s="25"/>
      <c r="C525" s="4"/>
      <c r="D525" s="5"/>
      <c r="E525" s="5"/>
      <c r="F525" s="5"/>
      <c r="G525" s="5"/>
      <c r="H525" s="5"/>
    </row>
    <row r="526" spans="2:8" x14ac:dyDescent="0.35">
      <c r="B526" s="25"/>
      <c r="C526" s="4"/>
      <c r="D526" s="5"/>
      <c r="E526" s="5"/>
      <c r="F526" s="5"/>
      <c r="G526" s="5"/>
      <c r="H526" s="5"/>
    </row>
    <row r="527" spans="2:8" x14ac:dyDescent="0.35">
      <c r="B527" s="25"/>
      <c r="C527" s="4"/>
      <c r="D527" s="5"/>
      <c r="E527" s="5"/>
      <c r="F527" s="5"/>
      <c r="G527" s="5"/>
      <c r="H527" s="5"/>
    </row>
    <row r="528" spans="2:8" x14ac:dyDescent="0.35">
      <c r="B528" s="25"/>
      <c r="C528" s="4"/>
      <c r="D528" s="5"/>
      <c r="E528" s="5"/>
      <c r="F528" s="5"/>
      <c r="G528" s="5"/>
      <c r="H528" s="5"/>
    </row>
    <row r="529" spans="2:8" x14ac:dyDescent="0.35">
      <c r="B529" s="25"/>
      <c r="C529" s="4"/>
      <c r="D529" s="5"/>
      <c r="E529" s="5"/>
      <c r="F529" s="5"/>
      <c r="G529" s="5"/>
      <c r="H529" s="5"/>
    </row>
    <row r="530" spans="2:8" x14ac:dyDescent="0.35">
      <c r="B530" s="25"/>
      <c r="C530" s="4"/>
      <c r="D530" s="5"/>
      <c r="E530" s="5"/>
      <c r="F530" s="5"/>
      <c r="G530" s="5"/>
      <c r="H530" s="5"/>
    </row>
    <row r="531" spans="2:8" x14ac:dyDescent="0.35">
      <c r="B531" s="25"/>
      <c r="C531" s="4"/>
      <c r="D531" s="5"/>
      <c r="E531" s="5"/>
      <c r="F531" s="5"/>
      <c r="G531" s="5"/>
      <c r="H531" s="5"/>
    </row>
    <row r="532" spans="2:8" x14ac:dyDescent="0.35">
      <c r="B532" s="25"/>
      <c r="C532" s="4"/>
      <c r="D532" s="5"/>
      <c r="E532" s="5"/>
      <c r="F532" s="5"/>
      <c r="G532" s="5"/>
      <c r="H532" s="5"/>
    </row>
    <row r="533" spans="2:8" x14ac:dyDescent="0.35">
      <c r="B533" s="25"/>
      <c r="C533" s="4"/>
      <c r="D533" s="5"/>
      <c r="E533" s="5"/>
      <c r="F533" s="5"/>
      <c r="G533" s="5"/>
      <c r="H533" s="5"/>
    </row>
    <row r="534" spans="2:8" x14ac:dyDescent="0.35">
      <c r="B534" s="25"/>
      <c r="C534" s="4"/>
      <c r="D534" s="5"/>
      <c r="E534" s="5"/>
      <c r="F534" s="5"/>
      <c r="G534" s="5"/>
      <c r="H534" s="5"/>
    </row>
    <row r="535" spans="2:8" x14ac:dyDescent="0.35">
      <c r="B535" s="25"/>
      <c r="C535" s="4"/>
      <c r="D535" s="5"/>
      <c r="E535" s="5"/>
      <c r="F535" s="5"/>
      <c r="G535" s="5"/>
      <c r="H535" s="5"/>
    </row>
    <row r="536" spans="2:8" x14ac:dyDescent="0.35">
      <c r="B536" s="25"/>
      <c r="C536" s="4"/>
      <c r="D536" s="5"/>
      <c r="E536" s="5"/>
      <c r="F536" s="5"/>
      <c r="G536" s="5"/>
      <c r="H536" s="5"/>
    </row>
    <row r="537" spans="2:8" x14ac:dyDescent="0.35">
      <c r="B537" s="25"/>
      <c r="C537" s="4"/>
      <c r="D537" s="5"/>
      <c r="E537" s="5"/>
      <c r="F537" s="5"/>
      <c r="G537" s="5"/>
      <c r="H537" s="5"/>
    </row>
    <row r="538" spans="2:8" x14ac:dyDescent="0.35">
      <c r="B538" s="25"/>
      <c r="C538" s="4"/>
      <c r="D538" s="5"/>
      <c r="E538" s="5"/>
      <c r="F538" s="5"/>
      <c r="G538" s="5"/>
      <c r="H538" s="5"/>
    </row>
    <row r="539" spans="2:8" x14ac:dyDescent="0.35">
      <c r="B539" s="25"/>
      <c r="C539" s="4"/>
      <c r="D539" s="5"/>
      <c r="E539" s="5"/>
      <c r="F539" s="5"/>
      <c r="G539" s="5"/>
      <c r="H539" s="5"/>
    </row>
    <row r="540" spans="2:8" x14ac:dyDescent="0.35">
      <c r="B540" s="25"/>
      <c r="C540" s="4"/>
      <c r="D540" s="5"/>
      <c r="E540" s="5"/>
      <c r="F540" s="5"/>
      <c r="G540" s="5"/>
      <c r="H540" s="5"/>
    </row>
    <row r="541" spans="2:8" x14ac:dyDescent="0.35">
      <c r="B541" s="25"/>
      <c r="C541" s="4"/>
      <c r="D541" s="5"/>
      <c r="E541" s="5"/>
      <c r="F541" s="5"/>
      <c r="G541" s="5"/>
      <c r="H541" s="5"/>
    </row>
    <row r="542" spans="2:8" x14ac:dyDescent="0.35">
      <c r="B542" s="25"/>
      <c r="C542" s="4"/>
      <c r="D542" s="5"/>
      <c r="E542" s="5"/>
      <c r="F542" s="5"/>
      <c r="G542" s="5"/>
      <c r="H542" s="5"/>
    </row>
    <row r="543" spans="2:8" x14ac:dyDescent="0.35">
      <c r="B543" s="25"/>
      <c r="C543" s="4"/>
      <c r="D543" s="5"/>
      <c r="E543" s="5"/>
      <c r="F543" s="5"/>
      <c r="G543" s="5"/>
      <c r="H543" s="5"/>
    </row>
    <row r="544" spans="2:8" x14ac:dyDescent="0.35">
      <c r="B544" s="25"/>
      <c r="C544" s="4"/>
      <c r="D544" s="5"/>
      <c r="E544" s="5"/>
      <c r="F544" s="5"/>
      <c r="G544" s="5"/>
      <c r="H544" s="5"/>
    </row>
    <row r="545" spans="2:8" x14ac:dyDescent="0.35">
      <c r="B545" s="25"/>
      <c r="C545" s="4"/>
      <c r="D545" s="5"/>
      <c r="E545" s="5"/>
      <c r="F545" s="5"/>
      <c r="G545" s="5"/>
      <c r="H545" s="5"/>
    </row>
    <row r="546" spans="2:8" x14ac:dyDescent="0.35">
      <c r="B546" s="25"/>
      <c r="C546" s="4"/>
      <c r="D546" s="5"/>
      <c r="E546" s="5"/>
      <c r="F546" s="5"/>
      <c r="G546" s="5"/>
      <c r="H546" s="5"/>
    </row>
    <row r="547" spans="2:8" x14ac:dyDescent="0.35">
      <c r="B547" s="25"/>
      <c r="C547" s="4"/>
      <c r="D547" s="5"/>
      <c r="E547" s="5"/>
      <c r="F547" s="5"/>
      <c r="G547" s="5"/>
      <c r="H547" s="5"/>
    </row>
    <row r="548" spans="2:8" x14ac:dyDescent="0.35">
      <c r="B548" s="25"/>
      <c r="C548" s="4"/>
      <c r="D548" s="5"/>
      <c r="E548" s="5"/>
      <c r="F548" s="5"/>
      <c r="G548" s="5"/>
      <c r="H548" s="5"/>
    </row>
    <row r="549" spans="2:8" x14ac:dyDescent="0.35">
      <c r="B549" s="25"/>
      <c r="C549" s="4"/>
      <c r="D549" s="5"/>
      <c r="E549" s="5"/>
      <c r="F549" s="5"/>
      <c r="G549" s="5"/>
      <c r="H549" s="5"/>
    </row>
    <row r="550" spans="2:8" x14ac:dyDescent="0.35">
      <c r="B550" s="25"/>
      <c r="C550" s="4"/>
      <c r="D550" s="5"/>
      <c r="E550" s="5"/>
      <c r="F550" s="5"/>
      <c r="G550" s="5"/>
      <c r="H550" s="5"/>
    </row>
    <row r="551" spans="2:8" x14ac:dyDescent="0.35">
      <c r="B551" s="25"/>
      <c r="C551" s="4"/>
      <c r="D551" s="5"/>
      <c r="E551" s="5"/>
      <c r="F551" s="5"/>
      <c r="G551" s="5"/>
      <c r="H551" s="5"/>
    </row>
    <row r="552" spans="2:8" x14ac:dyDescent="0.35">
      <c r="B552" s="25"/>
      <c r="C552" s="4"/>
      <c r="D552" s="5"/>
      <c r="E552" s="5"/>
      <c r="F552" s="5"/>
      <c r="G552" s="5"/>
      <c r="H552" s="5"/>
    </row>
    <row r="553" spans="2:8" x14ac:dyDescent="0.35">
      <c r="B553" s="25"/>
      <c r="C553" s="4"/>
      <c r="D553" s="5"/>
      <c r="E553" s="5"/>
      <c r="F553" s="5"/>
      <c r="G553" s="5"/>
      <c r="H553" s="5"/>
    </row>
    <row r="554" spans="2:8" x14ac:dyDescent="0.35">
      <c r="B554" s="25"/>
      <c r="C554" s="4"/>
      <c r="D554" s="5"/>
      <c r="E554" s="5"/>
      <c r="F554" s="5"/>
      <c r="G554" s="5"/>
      <c r="H554" s="5"/>
    </row>
    <row r="555" spans="2:8" x14ac:dyDescent="0.35">
      <c r="B555" s="25"/>
      <c r="C555" s="4"/>
      <c r="D555" s="5"/>
      <c r="E555" s="5"/>
      <c r="F555" s="5"/>
      <c r="G555" s="5"/>
      <c r="H555" s="5"/>
    </row>
    <row r="556" spans="2:8" x14ac:dyDescent="0.35">
      <c r="B556" s="25"/>
      <c r="C556" s="4"/>
      <c r="D556" s="5"/>
      <c r="E556" s="5"/>
      <c r="F556" s="5"/>
      <c r="G556" s="5"/>
      <c r="H556" s="5"/>
    </row>
    <row r="557" spans="2:8" x14ac:dyDescent="0.35">
      <c r="B557" s="25"/>
      <c r="C557" s="4"/>
      <c r="D557" s="5"/>
      <c r="E557" s="5"/>
      <c r="F557" s="5"/>
      <c r="G557" s="5"/>
      <c r="H557" s="5"/>
    </row>
    <row r="558" spans="2:8" x14ac:dyDescent="0.35">
      <c r="B558" s="25"/>
      <c r="C558" s="4"/>
      <c r="D558" s="5"/>
      <c r="E558" s="5"/>
      <c r="F558" s="5"/>
      <c r="G558" s="5"/>
      <c r="H558" s="5"/>
    </row>
    <row r="559" spans="2:8" x14ac:dyDescent="0.35">
      <c r="B559" s="25"/>
      <c r="C559" s="4"/>
      <c r="D559" s="5"/>
      <c r="E559" s="5"/>
      <c r="F559" s="5"/>
      <c r="G559" s="5"/>
      <c r="H559" s="5"/>
    </row>
    <row r="560" spans="2:8" x14ac:dyDescent="0.35">
      <c r="B560" s="25"/>
      <c r="C560" s="4"/>
      <c r="D560" s="5"/>
      <c r="E560" s="5"/>
      <c r="F560" s="5"/>
      <c r="G560" s="5"/>
      <c r="H560" s="5"/>
    </row>
    <row r="561" spans="2:8" x14ac:dyDescent="0.35">
      <c r="B561" s="25"/>
      <c r="C561" s="4"/>
      <c r="D561" s="5"/>
      <c r="E561" s="5"/>
      <c r="F561" s="5"/>
      <c r="G561" s="5"/>
      <c r="H561" s="5"/>
    </row>
    <row r="562" spans="2:8" x14ac:dyDescent="0.35">
      <c r="B562" s="25"/>
      <c r="C562" s="4"/>
      <c r="D562" s="5"/>
      <c r="E562" s="5"/>
      <c r="F562" s="5"/>
      <c r="G562" s="5"/>
      <c r="H562" s="5"/>
    </row>
    <row r="563" spans="2:8" x14ac:dyDescent="0.35">
      <c r="B563" s="25"/>
      <c r="C563" s="4"/>
      <c r="D563" s="5"/>
      <c r="E563" s="5"/>
      <c r="F563" s="5"/>
      <c r="G563" s="5"/>
      <c r="H563" s="5"/>
    </row>
    <row r="564" spans="2:8" x14ac:dyDescent="0.35">
      <c r="B564" s="25"/>
      <c r="C564" s="4"/>
      <c r="D564" s="5"/>
      <c r="E564" s="5"/>
      <c r="F564" s="5"/>
      <c r="G564" s="5"/>
      <c r="H564" s="5"/>
    </row>
    <row r="565" spans="2:8" x14ac:dyDescent="0.35">
      <c r="B565" s="25"/>
      <c r="C565" s="4"/>
      <c r="D565" s="5"/>
      <c r="E565" s="5"/>
      <c r="F565" s="5"/>
      <c r="G565" s="5"/>
      <c r="H565" s="5"/>
    </row>
    <row r="566" spans="2:8" x14ac:dyDescent="0.35">
      <c r="B566" s="25"/>
      <c r="C566" s="4"/>
      <c r="D566" s="5"/>
      <c r="E566" s="5"/>
      <c r="F566" s="5"/>
      <c r="G566" s="5"/>
      <c r="H566" s="5"/>
    </row>
    <row r="567" spans="2:8" x14ac:dyDescent="0.35">
      <c r="B567" s="25"/>
      <c r="C567" s="4"/>
      <c r="D567" s="5"/>
      <c r="E567" s="5"/>
      <c r="F567" s="5"/>
      <c r="G567" s="5"/>
      <c r="H567" s="5"/>
    </row>
    <row r="568" spans="2:8" x14ac:dyDescent="0.35">
      <c r="B568" s="25"/>
      <c r="C568" s="4"/>
      <c r="D568" s="5"/>
      <c r="E568" s="5"/>
      <c r="F568" s="5"/>
      <c r="G568" s="5"/>
      <c r="H568" s="5"/>
    </row>
    <row r="569" spans="2:8" x14ac:dyDescent="0.35">
      <c r="B569" s="25"/>
      <c r="C569" s="4"/>
      <c r="D569" s="5"/>
      <c r="E569" s="5"/>
      <c r="F569" s="5"/>
      <c r="G569" s="5"/>
      <c r="H569" s="5"/>
    </row>
    <row r="570" spans="2:8" x14ac:dyDescent="0.35">
      <c r="B570" s="25"/>
      <c r="C570" s="4"/>
      <c r="D570" s="5"/>
      <c r="E570" s="5"/>
      <c r="F570" s="5"/>
      <c r="G570" s="5"/>
      <c r="H570" s="5"/>
    </row>
    <row r="571" spans="2:8" x14ac:dyDescent="0.35">
      <c r="B571" s="25"/>
      <c r="C571" s="4"/>
      <c r="D571" s="5"/>
      <c r="E571" s="5"/>
      <c r="F571" s="5"/>
      <c r="G571" s="5"/>
      <c r="H571" s="5"/>
    </row>
    <row r="572" spans="2:8" x14ac:dyDescent="0.35">
      <c r="B572" s="25"/>
      <c r="C572" s="4"/>
      <c r="D572" s="5"/>
      <c r="E572" s="5"/>
      <c r="F572" s="5"/>
      <c r="G572" s="5"/>
      <c r="H572" s="5"/>
    </row>
    <row r="573" spans="2:8" x14ac:dyDescent="0.35">
      <c r="B573" s="25"/>
      <c r="C573" s="4"/>
      <c r="D573" s="5"/>
      <c r="E573" s="5"/>
      <c r="F573" s="5"/>
      <c r="G573" s="5"/>
      <c r="H573" s="5"/>
    </row>
    <row r="574" spans="2:8" x14ac:dyDescent="0.35">
      <c r="B574" s="25"/>
      <c r="C574" s="4"/>
      <c r="D574" s="5"/>
      <c r="E574" s="5"/>
      <c r="F574" s="5"/>
      <c r="G574" s="5"/>
      <c r="H574" s="5"/>
    </row>
    <row r="575" spans="2:8" x14ac:dyDescent="0.35">
      <c r="B575" s="25"/>
      <c r="C575" s="4"/>
      <c r="D575" s="5"/>
      <c r="E575" s="5"/>
      <c r="F575" s="5"/>
      <c r="G575" s="5"/>
      <c r="H575" s="5"/>
    </row>
    <row r="576" spans="2:8" x14ac:dyDescent="0.35">
      <c r="B576" s="25"/>
      <c r="C576" s="4"/>
      <c r="D576" s="5"/>
      <c r="E576" s="5"/>
      <c r="F576" s="5"/>
      <c r="G576" s="5"/>
      <c r="H576" s="5"/>
    </row>
    <row r="577" spans="2:8" x14ac:dyDescent="0.35">
      <c r="B577" s="25"/>
      <c r="C577" s="4"/>
      <c r="D577" s="5"/>
      <c r="E577" s="5"/>
      <c r="F577" s="5"/>
      <c r="G577" s="5"/>
      <c r="H577" s="5"/>
    </row>
    <row r="578" spans="2:8" x14ac:dyDescent="0.35">
      <c r="B578" s="25"/>
      <c r="C578" s="4"/>
      <c r="D578" s="5"/>
      <c r="E578" s="5"/>
      <c r="F578" s="5"/>
      <c r="G578" s="5"/>
      <c r="H578" s="5"/>
    </row>
    <row r="579" spans="2:8" x14ac:dyDescent="0.35">
      <c r="B579" s="25"/>
      <c r="C579" s="4"/>
      <c r="D579" s="5"/>
      <c r="E579" s="5"/>
      <c r="F579" s="5"/>
      <c r="G579" s="5"/>
      <c r="H579" s="5"/>
    </row>
    <row r="580" spans="2:8" x14ac:dyDescent="0.35">
      <c r="B580" s="25"/>
      <c r="C580" s="4"/>
      <c r="D580" s="5"/>
      <c r="E580" s="5"/>
      <c r="F580" s="5"/>
      <c r="G580" s="5"/>
      <c r="H580" s="5"/>
    </row>
    <row r="581" spans="2:8" x14ac:dyDescent="0.35">
      <c r="B581" s="25"/>
      <c r="C581" s="4"/>
      <c r="D581" s="5"/>
      <c r="E581" s="5"/>
      <c r="F581" s="5"/>
      <c r="G581" s="5"/>
      <c r="H581" s="5"/>
    </row>
    <row r="582" spans="2:8" x14ac:dyDescent="0.35">
      <c r="B582" s="25"/>
      <c r="C582" s="4"/>
      <c r="D582" s="5"/>
      <c r="E582" s="5"/>
      <c r="F582" s="5"/>
      <c r="G582" s="5"/>
      <c r="H582" s="5"/>
    </row>
    <row r="583" spans="2:8" x14ac:dyDescent="0.35">
      <c r="B583" s="25"/>
      <c r="C583" s="4"/>
      <c r="D583" s="5"/>
      <c r="E583" s="5"/>
      <c r="F583" s="5"/>
      <c r="G583" s="5"/>
      <c r="H583" s="5"/>
    </row>
    <row r="584" spans="2:8" x14ac:dyDescent="0.35">
      <c r="B584" s="25"/>
      <c r="C584" s="4"/>
      <c r="D584" s="5"/>
      <c r="E584" s="5"/>
      <c r="F584" s="5"/>
      <c r="G584" s="5"/>
      <c r="H584" s="5"/>
    </row>
    <row r="585" spans="2:8" x14ac:dyDescent="0.35">
      <c r="B585" s="25"/>
      <c r="C585" s="4"/>
      <c r="D585" s="5"/>
      <c r="E585" s="5"/>
      <c r="F585" s="5"/>
      <c r="G585" s="5"/>
      <c r="H585" s="5"/>
    </row>
    <row r="586" spans="2:8" x14ac:dyDescent="0.35">
      <c r="B586" s="25"/>
      <c r="C586" s="4"/>
      <c r="D586" s="5"/>
      <c r="E586" s="5"/>
      <c r="F586" s="5"/>
      <c r="G586" s="5"/>
      <c r="H586" s="5"/>
    </row>
    <row r="587" spans="2:8" x14ac:dyDescent="0.35">
      <c r="B587" s="25"/>
      <c r="C587" s="4"/>
      <c r="D587" s="5"/>
      <c r="E587" s="5"/>
      <c r="F587" s="5"/>
      <c r="G587" s="5"/>
      <c r="H587" s="5"/>
    </row>
    <row r="588" spans="2:8" x14ac:dyDescent="0.35">
      <c r="B588" s="25"/>
      <c r="C588" s="4"/>
      <c r="D588" s="5"/>
      <c r="E588" s="5"/>
      <c r="F588" s="5"/>
      <c r="G588" s="5"/>
      <c r="H588" s="5"/>
    </row>
    <row r="589" spans="2:8" x14ac:dyDescent="0.35">
      <c r="B589" s="25"/>
      <c r="C589" s="4"/>
      <c r="D589" s="5"/>
      <c r="E589" s="5"/>
      <c r="F589" s="5"/>
      <c r="G589" s="5"/>
      <c r="H589" s="5"/>
    </row>
    <row r="590" spans="2:8" x14ac:dyDescent="0.35">
      <c r="B590" s="25"/>
      <c r="C590" s="4"/>
      <c r="D590" s="5"/>
      <c r="E590" s="5"/>
      <c r="F590" s="5"/>
      <c r="G590" s="5"/>
      <c r="H590" s="5"/>
    </row>
    <row r="591" spans="2:8" x14ac:dyDescent="0.35">
      <c r="B591" s="25"/>
      <c r="C591" s="4"/>
      <c r="D591" s="5"/>
      <c r="E591" s="5"/>
      <c r="F591" s="5"/>
      <c r="G591" s="5"/>
      <c r="H591" s="5"/>
    </row>
    <row r="592" spans="2:8" x14ac:dyDescent="0.35">
      <c r="B592" s="25"/>
      <c r="C592" s="4"/>
      <c r="D592" s="5"/>
      <c r="E592" s="5"/>
      <c r="F592" s="5"/>
      <c r="G592" s="5"/>
      <c r="H592" s="5"/>
    </row>
    <row r="593" spans="2:8" x14ac:dyDescent="0.35">
      <c r="B593" s="25"/>
      <c r="C593" s="4"/>
      <c r="D593" s="5"/>
      <c r="E593" s="5"/>
      <c r="F593" s="5"/>
      <c r="G593" s="5"/>
      <c r="H593" s="5"/>
    </row>
    <row r="594" spans="2:8" x14ac:dyDescent="0.35">
      <c r="B594" s="25"/>
      <c r="C594" s="4"/>
      <c r="D594" s="5"/>
      <c r="E594" s="5"/>
      <c r="F594" s="5"/>
      <c r="G594" s="5"/>
      <c r="H594" s="5"/>
    </row>
    <row r="595" spans="2:8" x14ac:dyDescent="0.35">
      <c r="B595" s="25"/>
      <c r="C595" s="4"/>
      <c r="D595" s="5"/>
      <c r="E595" s="5"/>
      <c r="F595" s="5"/>
      <c r="G595" s="5"/>
      <c r="H595" s="5"/>
    </row>
    <row r="596" spans="2:8" x14ac:dyDescent="0.35">
      <c r="B596" s="25"/>
      <c r="C596" s="4"/>
      <c r="D596" s="5"/>
      <c r="E596" s="5"/>
      <c r="F596" s="5"/>
      <c r="G596" s="5"/>
      <c r="H596" s="5"/>
    </row>
    <row r="597" spans="2:8" x14ac:dyDescent="0.35">
      <c r="B597" s="25"/>
      <c r="C597" s="4"/>
      <c r="D597" s="5"/>
      <c r="E597" s="5"/>
      <c r="F597" s="5"/>
      <c r="G597" s="5"/>
      <c r="H597" s="5"/>
    </row>
    <row r="598" spans="2:8" x14ac:dyDescent="0.35">
      <c r="B598" s="25"/>
      <c r="C598" s="4"/>
      <c r="D598" s="5"/>
      <c r="E598" s="5"/>
      <c r="F598" s="5"/>
      <c r="G598" s="5"/>
      <c r="H598" s="5"/>
    </row>
    <row r="599" spans="2:8" x14ac:dyDescent="0.35">
      <c r="B599" s="25"/>
      <c r="C599" s="4"/>
      <c r="D599" s="5"/>
      <c r="E599" s="5"/>
      <c r="F599" s="5"/>
      <c r="G599" s="5"/>
      <c r="H599" s="5"/>
    </row>
    <row r="600" spans="2:8" x14ac:dyDescent="0.35">
      <c r="B600" s="25"/>
      <c r="C600" s="4"/>
      <c r="D600" s="5"/>
      <c r="E600" s="5"/>
      <c r="F600" s="5"/>
      <c r="G600" s="5"/>
      <c r="H600" s="5"/>
    </row>
    <row r="601" spans="2:8" x14ac:dyDescent="0.35">
      <c r="B601" s="25"/>
      <c r="C601" s="4"/>
      <c r="D601" s="5"/>
      <c r="E601" s="5"/>
      <c r="F601" s="5"/>
      <c r="G601" s="5"/>
      <c r="H601" s="5"/>
    </row>
    <row r="602" spans="2:8" x14ac:dyDescent="0.35">
      <c r="B602" s="25"/>
      <c r="C602" s="4"/>
      <c r="D602" s="5"/>
      <c r="E602" s="5"/>
      <c r="F602" s="5"/>
      <c r="G602" s="5"/>
      <c r="H602" s="5"/>
    </row>
    <row r="603" spans="2:8" x14ac:dyDescent="0.35">
      <c r="B603" s="25"/>
      <c r="C603" s="4"/>
      <c r="D603" s="5"/>
      <c r="E603" s="5"/>
      <c r="F603" s="5"/>
      <c r="G603" s="5"/>
      <c r="H603" s="5"/>
    </row>
    <row r="604" spans="2:8" x14ac:dyDescent="0.35">
      <c r="B604" s="25"/>
      <c r="C604" s="4"/>
      <c r="D604" s="5"/>
      <c r="E604" s="5"/>
      <c r="F604" s="5"/>
      <c r="G604" s="5"/>
      <c r="H604" s="5"/>
    </row>
    <row r="605" spans="2:8" x14ac:dyDescent="0.35">
      <c r="B605" s="25"/>
      <c r="C605" s="4"/>
      <c r="D605" s="5"/>
      <c r="E605" s="5"/>
      <c r="F605" s="5"/>
      <c r="G605" s="5"/>
      <c r="H605" s="5"/>
    </row>
    <row r="606" spans="2:8" x14ac:dyDescent="0.35">
      <c r="B606" s="25"/>
      <c r="C606" s="4"/>
      <c r="D606" s="5"/>
      <c r="E606" s="5"/>
      <c r="F606" s="5"/>
      <c r="G606" s="5"/>
      <c r="H606" s="5"/>
    </row>
    <row r="607" spans="2:8" x14ac:dyDescent="0.35">
      <c r="B607" s="25"/>
      <c r="C607" s="4"/>
      <c r="D607" s="5"/>
      <c r="E607" s="5"/>
      <c r="F607" s="5"/>
      <c r="G607" s="5"/>
      <c r="H607" s="5"/>
    </row>
    <row r="608" spans="2:8" x14ac:dyDescent="0.35">
      <c r="B608" s="25"/>
      <c r="C608" s="4"/>
      <c r="D608" s="5"/>
      <c r="E608" s="5"/>
      <c r="F608" s="5"/>
      <c r="G608" s="5"/>
      <c r="H608" s="5"/>
    </row>
    <row r="609" spans="2:8" x14ac:dyDescent="0.35">
      <c r="B609" s="25"/>
      <c r="C609" s="4"/>
      <c r="D609" s="5"/>
      <c r="E609" s="5"/>
      <c r="F609" s="5"/>
      <c r="G609" s="5"/>
      <c r="H609" s="5"/>
    </row>
    <row r="610" spans="2:8" x14ac:dyDescent="0.35">
      <c r="B610" s="25"/>
      <c r="C610" s="4"/>
      <c r="D610" s="5"/>
      <c r="E610" s="5"/>
      <c r="F610" s="5"/>
      <c r="G610" s="5"/>
      <c r="H610" s="5"/>
    </row>
    <row r="611" spans="2:8" x14ac:dyDescent="0.35">
      <c r="B611" s="25"/>
      <c r="C611" s="4"/>
      <c r="D611" s="5"/>
      <c r="E611" s="5"/>
      <c r="F611" s="5"/>
      <c r="G611" s="5"/>
      <c r="H611" s="5"/>
    </row>
    <row r="612" spans="2:8" x14ac:dyDescent="0.35">
      <c r="B612" s="25"/>
      <c r="C612" s="4"/>
      <c r="D612" s="5"/>
      <c r="E612" s="5"/>
      <c r="F612" s="5"/>
      <c r="G612" s="5"/>
      <c r="H612" s="5"/>
    </row>
    <row r="613" spans="2:8" x14ac:dyDescent="0.35">
      <c r="B613" s="25"/>
      <c r="C613" s="4"/>
      <c r="D613" s="5"/>
      <c r="E613" s="5"/>
      <c r="F613" s="5"/>
      <c r="G613" s="5"/>
      <c r="H613" s="5"/>
    </row>
    <row r="614" spans="2:8" x14ac:dyDescent="0.35">
      <c r="B614" s="25"/>
      <c r="C614" s="4"/>
      <c r="D614" s="5"/>
      <c r="E614" s="5"/>
      <c r="F614" s="5"/>
      <c r="G614" s="5"/>
      <c r="H614" s="5"/>
    </row>
    <row r="615" spans="2:8" x14ac:dyDescent="0.35">
      <c r="B615" s="25"/>
      <c r="C615" s="4"/>
      <c r="D615" s="5"/>
      <c r="E615" s="5"/>
      <c r="F615" s="5"/>
      <c r="G615" s="5"/>
      <c r="H615" s="5"/>
    </row>
    <row r="616" spans="2:8" x14ac:dyDescent="0.35">
      <c r="B616" s="25"/>
      <c r="C616" s="4"/>
      <c r="D616" s="5"/>
      <c r="E616" s="5"/>
      <c r="F616" s="5"/>
      <c r="G616" s="5"/>
      <c r="H616" s="5"/>
    </row>
    <row r="617" spans="2:8" x14ac:dyDescent="0.35">
      <c r="B617" s="25"/>
      <c r="C617" s="4"/>
      <c r="D617" s="5"/>
      <c r="E617" s="5"/>
      <c r="F617" s="5"/>
      <c r="G617" s="5"/>
      <c r="H617" s="5"/>
    </row>
    <row r="618" spans="2:8" x14ac:dyDescent="0.35">
      <c r="B618" s="25"/>
      <c r="C618" s="4"/>
      <c r="D618" s="5"/>
      <c r="E618" s="5"/>
      <c r="F618" s="5"/>
      <c r="G618" s="5"/>
      <c r="H618" s="5"/>
    </row>
    <row r="619" spans="2:8" x14ac:dyDescent="0.35">
      <c r="B619" s="25"/>
      <c r="C619" s="4"/>
      <c r="D619" s="5"/>
      <c r="E619" s="5"/>
      <c r="F619" s="5"/>
      <c r="G619" s="5"/>
      <c r="H619" s="5"/>
    </row>
    <row r="620" spans="2:8" x14ac:dyDescent="0.35">
      <c r="B620" s="25"/>
      <c r="C620" s="4"/>
      <c r="D620" s="5"/>
      <c r="E620" s="5"/>
      <c r="F620" s="5"/>
      <c r="G620" s="5"/>
      <c r="H620" s="5"/>
    </row>
    <row r="621" spans="2:8" x14ac:dyDescent="0.35">
      <c r="B621" s="25"/>
      <c r="C621" s="4"/>
      <c r="D621" s="5"/>
      <c r="E621" s="5"/>
      <c r="F621" s="5"/>
      <c r="G621" s="5"/>
      <c r="H621" s="5"/>
    </row>
    <row r="622" spans="2:8" x14ac:dyDescent="0.35">
      <c r="B622" s="25"/>
      <c r="C622" s="4"/>
      <c r="D622" s="5"/>
      <c r="E622" s="5"/>
      <c r="F622" s="5"/>
      <c r="G622" s="5"/>
      <c r="H622" s="5"/>
    </row>
    <row r="623" spans="2:8" x14ac:dyDescent="0.35">
      <c r="B623" s="25"/>
      <c r="C623" s="4"/>
      <c r="D623" s="5"/>
      <c r="E623" s="5"/>
      <c r="F623" s="5"/>
      <c r="G623" s="5"/>
      <c r="H623" s="5"/>
    </row>
    <row r="624" spans="2:8" x14ac:dyDescent="0.35">
      <c r="B624" s="25"/>
      <c r="C624" s="4"/>
      <c r="D624" s="5"/>
      <c r="E624" s="5"/>
      <c r="F624" s="5"/>
      <c r="G624" s="5"/>
      <c r="H624" s="5"/>
    </row>
    <row r="625" spans="2:8" x14ac:dyDescent="0.35">
      <c r="B625" s="25"/>
      <c r="C625" s="4"/>
      <c r="D625" s="5"/>
      <c r="E625" s="5"/>
      <c r="F625" s="5"/>
      <c r="G625" s="5"/>
      <c r="H625" s="5"/>
    </row>
    <row r="626" spans="2:8" x14ac:dyDescent="0.35">
      <c r="B626" s="25"/>
      <c r="C626" s="4"/>
      <c r="D626" s="5"/>
      <c r="E626" s="5"/>
      <c r="F626" s="5"/>
      <c r="G626" s="5"/>
      <c r="H626" s="5"/>
    </row>
    <row r="627" spans="2:8" x14ac:dyDescent="0.35">
      <c r="B627" s="25"/>
      <c r="C627" s="4"/>
      <c r="D627" s="5"/>
      <c r="E627" s="5"/>
      <c r="F627" s="5"/>
      <c r="G627" s="5"/>
      <c r="H627" s="5"/>
    </row>
    <row r="628" spans="2:8" x14ac:dyDescent="0.35">
      <c r="B628" s="25"/>
      <c r="C628" s="4"/>
      <c r="D628" s="5"/>
      <c r="E628" s="5"/>
      <c r="F628" s="5"/>
      <c r="G628" s="5"/>
      <c r="H628" s="5"/>
    </row>
    <row r="629" spans="2:8" x14ac:dyDescent="0.35">
      <c r="B629" s="25"/>
      <c r="C629" s="4"/>
      <c r="D629" s="5"/>
      <c r="E629" s="5"/>
      <c r="F629" s="5"/>
      <c r="G629" s="5"/>
      <c r="H629" s="5"/>
    </row>
    <row r="630" spans="2:8" x14ac:dyDescent="0.35">
      <c r="B630" s="25"/>
      <c r="C630" s="4"/>
      <c r="D630" s="5"/>
      <c r="E630" s="5"/>
      <c r="F630" s="5"/>
      <c r="G630" s="5"/>
      <c r="H630" s="5"/>
    </row>
    <row r="631" spans="2:8" x14ac:dyDescent="0.35">
      <c r="B631" s="25"/>
      <c r="C631" s="4"/>
      <c r="D631" s="5"/>
      <c r="E631" s="5"/>
      <c r="F631" s="5"/>
      <c r="G631" s="5"/>
      <c r="H631" s="5"/>
    </row>
    <row r="632" spans="2:8" x14ac:dyDescent="0.35">
      <c r="B632" s="25"/>
      <c r="C632" s="4"/>
      <c r="D632" s="5"/>
      <c r="E632" s="5"/>
      <c r="F632" s="5"/>
      <c r="G632" s="5"/>
      <c r="H632" s="5"/>
    </row>
    <row r="633" spans="2:8" x14ac:dyDescent="0.35">
      <c r="B633" s="25"/>
      <c r="C633" s="4"/>
      <c r="D633" s="5"/>
      <c r="E633" s="5"/>
      <c r="F633" s="5"/>
      <c r="G633" s="5"/>
      <c r="H633" s="5"/>
    </row>
    <row r="634" spans="2:8" x14ac:dyDescent="0.35">
      <c r="B634" s="25"/>
      <c r="C634" s="4"/>
      <c r="D634" s="5"/>
      <c r="E634" s="5"/>
      <c r="F634" s="5"/>
      <c r="G634" s="5"/>
      <c r="H634" s="5"/>
    </row>
    <row r="635" spans="2:8" x14ac:dyDescent="0.35">
      <c r="B635" s="25"/>
      <c r="C635" s="4"/>
      <c r="D635" s="5"/>
      <c r="E635" s="5"/>
      <c r="F635" s="5"/>
      <c r="G635" s="5"/>
      <c r="H635" s="5"/>
    </row>
    <row r="636" spans="2:8" x14ac:dyDescent="0.35">
      <c r="B636" s="25"/>
      <c r="C636" s="4"/>
      <c r="D636" s="5"/>
      <c r="E636" s="5"/>
      <c r="F636" s="5"/>
      <c r="G636" s="5"/>
      <c r="H636" s="5"/>
    </row>
    <row r="637" spans="2:8" x14ac:dyDescent="0.35">
      <c r="B637" s="25"/>
      <c r="C637" s="4"/>
      <c r="D637" s="5"/>
      <c r="E637" s="5"/>
      <c r="F637" s="5"/>
      <c r="G637" s="5"/>
      <c r="H637" s="5"/>
    </row>
    <row r="638" spans="2:8" x14ac:dyDescent="0.35">
      <c r="B638" s="25"/>
      <c r="C638" s="4"/>
      <c r="D638" s="5"/>
      <c r="E638" s="5"/>
      <c r="F638" s="5"/>
      <c r="G638" s="5"/>
      <c r="H638" s="5"/>
    </row>
    <row r="639" spans="2:8" x14ac:dyDescent="0.35">
      <c r="B639" s="25"/>
      <c r="C639" s="4"/>
      <c r="D639" s="5"/>
      <c r="E639" s="5"/>
      <c r="F639" s="5"/>
      <c r="G639" s="5"/>
      <c r="H639" s="5"/>
    </row>
    <row r="640" spans="2:8" x14ac:dyDescent="0.35">
      <c r="B640" s="25"/>
      <c r="C640" s="4"/>
      <c r="D640" s="5"/>
      <c r="E640" s="5"/>
      <c r="F640" s="5"/>
      <c r="G640" s="5"/>
      <c r="H640" s="5"/>
    </row>
    <row r="641" spans="2:8" x14ac:dyDescent="0.35">
      <c r="B641" s="25"/>
      <c r="C641" s="4"/>
      <c r="D641" s="5"/>
      <c r="E641" s="5"/>
      <c r="F641" s="5"/>
      <c r="G641" s="5"/>
      <c r="H641" s="5"/>
    </row>
    <row r="642" spans="2:8" x14ac:dyDescent="0.35">
      <c r="B642" s="25"/>
      <c r="C642" s="4"/>
      <c r="D642" s="5"/>
      <c r="E642" s="5"/>
      <c r="F642" s="5"/>
      <c r="G642" s="5"/>
      <c r="H642" s="5"/>
    </row>
    <row r="643" spans="2:8" x14ac:dyDescent="0.35">
      <c r="B643" s="25"/>
      <c r="C643" s="4"/>
      <c r="D643" s="5"/>
      <c r="E643" s="5"/>
      <c r="F643" s="5"/>
      <c r="G643" s="5"/>
      <c r="H643" s="5"/>
    </row>
    <row r="644" spans="2:8" x14ac:dyDescent="0.35">
      <c r="B644" s="25"/>
      <c r="C644" s="4"/>
      <c r="D644" s="5"/>
      <c r="E644" s="5"/>
      <c r="F644" s="5"/>
      <c r="G644" s="5"/>
      <c r="H644" s="5"/>
    </row>
    <row r="645" spans="2:8" x14ac:dyDescent="0.35">
      <c r="B645" s="25"/>
      <c r="C645" s="4"/>
      <c r="D645" s="5"/>
      <c r="E645" s="5"/>
      <c r="F645" s="5"/>
      <c r="G645" s="5"/>
      <c r="H645" s="5"/>
    </row>
    <row r="646" spans="2:8" x14ac:dyDescent="0.35">
      <c r="B646" s="25"/>
      <c r="C646" s="4"/>
      <c r="D646" s="5"/>
      <c r="E646" s="5"/>
      <c r="F646" s="5"/>
      <c r="G646" s="5"/>
      <c r="H646" s="5"/>
    </row>
    <row r="647" spans="2:8" x14ac:dyDescent="0.35">
      <c r="B647" s="25"/>
      <c r="C647" s="4"/>
      <c r="D647" s="5"/>
      <c r="E647" s="5"/>
      <c r="F647" s="5"/>
      <c r="G647" s="5"/>
      <c r="H647" s="5"/>
    </row>
    <row r="648" spans="2:8" x14ac:dyDescent="0.35">
      <c r="B648" s="25"/>
      <c r="C648" s="4"/>
      <c r="D648" s="5"/>
      <c r="E648" s="5"/>
      <c r="F648" s="5"/>
      <c r="G648" s="5"/>
      <c r="H648" s="5"/>
    </row>
    <row r="649" spans="2:8" x14ac:dyDescent="0.35">
      <c r="B649" s="25"/>
      <c r="C649" s="4"/>
      <c r="D649" s="5"/>
      <c r="E649" s="5"/>
      <c r="F649" s="5"/>
      <c r="G649" s="5"/>
      <c r="H649" s="5"/>
    </row>
    <row r="650" spans="2:8" x14ac:dyDescent="0.35">
      <c r="B650" s="25"/>
      <c r="C650" s="4"/>
      <c r="D650" s="5"/>
      <c r="E650" s="5"/>
      <c r="F650" s="5"/>
      <c r="G650" s="5"/>
      <c r="H650" s="5"/>
    </row>
    <row r="651" spans="2:8" x14ac:dyDescent="0.35">
      <c r="B651" s="25"/>
      <c r="C651" s="4"/>
      <c r="D651" s="5"/>
      <c r="E651" s="5"/>
      <c r="F651" s="5"/>
      <c r="G651" s="5"/>
      <c r="H651" s="5"/>
    </row>
    <row r="652" spans="2:8" x14ac:dyDescent="0.35">
      <c r="B652" s="25"/>
      <c r="C652" s="4"/>
      <c r="D652" s="5"/>
      <c r="E652" s="5"/>
      <c r="F652" s="5"/>
      <c r="G652" s="5"/>
      <c r="H652" s="5"/>
    </row>
    <row r="653" spans="2:8" x14ac:dyDescent="0.35">
      <c r="B653" s="25"/>
      <c r="C653" s="4"/>
      <c r="D653" s="5"/>
      <c r="E653" s="5"/>
      <c r="F653" s="5"/>
      <c r="G653" s="5"/>
      <c r="H653" s="5"/>
    </row>
    <row r="654" spans="2:8" x14ac:dyDescent="0.35">
      <c r="B654" s="25"/>
      <c r="C654" s="4"/>
      <c r="D654" s="5"/>
      <c r="E654" s="5"/>
      <c r="F654" s="5"/>
      <c r="G654" s="5"/>
      <c r="H654" s="5"/>
    </row>
    <row r="655" spans="2:8" x14ac:dyDescent="0.35">
      <c r="B655" s="25"/>
      <c r="C655" s="4"/>
      <c r="D655" s="5"/>
      <c r="E655" s="5"/>
      <c r="F655" s="5"/>
      <c r="G655" s="5"/>
      <c r="H655" s="5"/>
    </row>
    <row r="656" spans="2:8" x14ac:dyDescent="0.35">
      <c r="B656" s="25"/>
      <c r="C656" s="4"/>
      <c r="D656" s="5"/>
      <c r="E656" s="5"/>
      <c r="F656" s="5"/>
      <c r="G656" s="5"/>
      <c r="H656" s="5"/>
    </row>
    <row r="657" spans="2:8" x14ac:dyDescent="0.35">
      <c r="B657" s="25"/>
      <c r="C657" s="4"/>
      <c r="D657" s="5"/>
      <c r="E657" s="5"/>
      <c r="F657" s="5"/>
      <c r="G657" s="5"/>
      <c r="H657" s="5"/>
    </row>
    <row r="658" spans="2:8" x14ac:dyDescent="0.35">
      <c r="B658" s="25"/>
      <c r="C658" s="4"/>
      <c r="D658" s="5"/>
      <c r="E658" s="5"/>
      <c r="F658" s="5"/>
      <c r="G658" s="5"/>
      <c r="H658" s="5"/>
    </row>
    <row r="659" spans="2:8" x14ac:dyDescent="0.35">
      <c r="B659" s="25"/>
      <c r="C659" s="4"/>
      <c r="D659" s="5"/>
      <c r="E659" s="5"/>
      <c r="F659" s="5"/>
      <c r="G659" s="5"/>
      <c r="H659" s="5"/>
    </row>
    <row r="660" spans="2:8" x14ac:dyDescent="0.35">
      <c r="B660" s="25"/>
      <c r="C660" s="4"/>
      <c r="D660" s="5"/>
      <c r="E660" s="5"/>
      <c r="F660" s="5"/>
      <c r="G660" s="5"/>
      <c r="H660" s="5"/>
    </row>
    <row r="661" spans="2:8" x14ac:dyDescent="0.35">
      <c r="B661" s="25"/>
      <c r="C661" s="4"/>
      <c r="D661" s="5"/>
      <c r="E661" s="5"/>
      <c r="F661" s="5"/>
      <c r="G661" s="5"/>
      <c r="H661" s="5"/>
    </row>
    <row r="662" spans="2:8" x14ac:dyDescent="0.35">
      <c r="B662" s="25"/>
      <c r="C662" s="4"/>
      <c r="D662" s="5"/>
      <c r="E662" s="5"/>
      <c r="F662" s="5"/>
      <c r="G662" s="5"/>
      <c r="H662" s="5"/>
    </row>
    <row r="663" spans="2:8" x14ac:dyDescent="0.35">
      <c r="B663" s="25"/>
      <c r="C663" s="4"/>
      <c r="D663" s="5"/>
      <c r="E663" s="5"/>
      <c r="F663" s="5"/>
      <c r="G663" s="5"/>
      <c r="H663" s="5"/>
    </row>
    <row r="664" spans="2:8" x14ac:dyDescent="0.35">
      <c r="B664" s="25"/>
      <c r="C664" s="4"/>
      <c r="D664" s="5"/>
      <c r="E664" s="5"/>
      <c r="F664" s="5"/>
      <c r="G664" s="5"/>
      <c r="H664" s="5"/>
    </row>
    <row r="665" spans="2:8" x14ac:dyDescent="0.35">
      <c r="B665" s="25"/>
      <c r="C665" s="4"/>
      <c r="D665" s="5"/>
      <c r="E665" s="5"/>
      <c r="F665" s="5"/>
      <c r="G665" s="5"/>
      <c r="H665" s="5"/>
    </row>
    <row r="666" spans="2:8" x14ac:dyDescent="0.35">
      <c r="B666" s="25"/>
      <c r="C666" s="4"/>
      <c r="D666" s="5"/>
      <c r="E666" s="5"/>
      <c r="F666" s="5"/>
      <c r="G666" s="5"/>
      <c r="H666" s="5"/>
    </row>
    <row r="667" spans="2:8" x14ac:dyDescent="0.35">
      <c r="B667" s="25"/>
      <c r="C667" s="4"/>
      <c r="D667" s="5"/>
      <c r="E667" s="5"/>
      <c r="F667" s="5"/>
      <c r="G667" s="5"/>
      <c r="H667" s="5"/>
    </row>
    <row r="668" spans="2:8" x14ac:dyDescent="0.35">
      <c r="B668" s="25"/>
      <c r="C668" s="4"/>
      <c r="D668" s="5"/>
      <c r="E668" s="5"/>
      <c r="F668" s="5"/>
      <c r="G668" s="5"/>
      <c r="H668" s="5"/>
    </row>
    <row r="669" spans="2:8" x14ac:dyDescent="0.35">
      <c r="B669" s="25"/>
      <c r="C669" s="4"/>
      <c r="D669" s="5"/>
      <c r="E669" s="5"/>
      <c r="F669" s="5"/>
      <c r="G669" s="5"/>
      <c r="H669" s="5"/>
    </row>
    <row r="670" spans="2:8" x14ac:dyDescent="0.35">
      <c r="B670" s="25"/>
      <c r="C670" s="4"/>
      <c r="D670" s="5"/>
      <c r="E670" s="5"/>
      <c r="F670" s="5"/>
      <c r="G670" s="5"/>
      <c r="H670" s="5"/>
    </row>
    <row r="671" spans="2:8" x14ac:dyDescent="0.35">
      <c r="B671" s="25"/>
      <c r="C671" s="4"/>
      <c r="D671" s="5"/>
      <c r="E671" s="5"/>
      <c r="F671" s="5"/>
      <c r="G671" s="5"/>
      <c r="H671" s="5"/>
    </row>
    <row r="672" spans="2:8" x14ac:dyDescent="0.35">
      <c r="B672" s="25"/>
      <c r="C672" s="4"/>
      <c r="D672" s="5"/>
      <c r="E672" s="5"/>
      <c r="F672" s="5"/>
      <c r="G672" s="5"/>
      <c r="H672" s="5"/>
    </row>
    <row r="673" spans="2:8" x14ac:dyDescent="0.35">
      <c r="B673" s="25"/>
      <c r="C673" s="4"/>
      <c r="D673" s="5"/>
      <c r="E673" s="5"/>
      <c r="F673" s="5"/>
      <c r="G673" s="5"/>
      <c r="H673" s="5"/>
    </row>
    <row r="674" spans="2:8" x14ac:dyDescent="0.35">
      <c r="B674" s="25"/>
      <c r="C674" s="4"/>
      <c r="D674" s="5"/>
      <c r="E674" s="5"/>
      <c r="F674" s="5"/>
      <c r="G674" s="5"/>
      <c r="H674" s="5"/>
    </row>
    <row r="675" spans="2:8" x14ac:dyDescent="0.35">
      <c r="B675" s="25"/>
      <c r="C675" s="4"/>
      <c r="D675" s="5"/>
      <c r="E675" s="5"/>
      <c r="F675" s="5"/>
      <c r="G675" s="5"/>
      <c r="H675" s="5"/>
    </row>
    <row r="676" spans="2:8" x14ac:dyDescent="0.35">
      <c r="B676" s="25"/>
      <c r="C676" s="4"/>
      <c r="D676" s="5"/>
      <c r="E676" s="5"/>
      <c r="F676" s="5"/>
      <c r="G676" s="5"/>
      <c r="H676" s="5"/>
    </row>
    <row r="677" spans="2:8" x14ac:dyDescent="0.35">
      <c r="B677" s="25"/>
      <c r="C677" s="4"/>
      <c r="D677" s="5"/>
      <c r="E677" s="5"/>
      <c r="F677" s="5"/>
      <c r="G677" s="5"/>
      <c r="H677" s="5"/>
    </row>
    <row r="678" spans="2:8" x14ac:dyDescent="0.35">
      <c r="B678" s="25"/>
      <c r="C678" s="4"/>
      <c r="D678" s="5"/>
      <c r="E678" s="5"/>
      <c r="F678" s="5"/>
      <c r="G678" s="5"/>
      <c r="H678" s="5"/>
    </row>
    <row r="679" spans="2:8" x14ac:dyDescent="0.35">
      <c r="B679" s="25"/>
      <c r="C679" s="4"/>
      <c r="D679" s="5"/>
      <c r="E679" s="5"/>
      <c r="F679" s="5"/>
      <c r="G679" s="5"/>
      <c r="H679" s="5"/>
    </row>
    <row r="680" spans="2:8" x14ac:dyDescent="0.35">
      <c r="B680" s="25"/>
      <c r="C680" s="4"/>
      <c r="D680" s="5"/>
      <c r="E680" s="5"/>
      <c r="F680" s="5"/>
      <c r="G680" s="5"/>
      <c r="H680" s="5"/>
    </row>
    <row r="681" spans="2:8" x14ac:dyDescent="0.35">
      <c r="B681" s="25"/>
      <c r="C681" s="4"/>
      <c r="D681" s="5"/>
      <c r="E681" s="5"/>
      <c r="F681" s="5"/>
      <c r="G681" s="5"/>
      <c r="H681" s="5"/>
    </row>
    <row r="682" spans="2:8" x14ac:dyDescent="0.35">
      <c r="B682" s="25"/>
      <c r="C682" s="4"/>
      <c r="D682" s="5"/>
      <c r="E682" s="5"/>
      <c r="F682" s="5"/>
      <c r="G682" s="5"/>
      <c r="H682" s="5"/>
    </row>
    <row r="683" spans="2:8" x14ac:dyDescent="0.35">
      <c r="B683" s="25"/>
      <c r="C683" s="4"/>
      <c r="D683" s="5"/>
      <c r="E683" s="5"/>
      <c r="F683" s="5"/>
      <c r="G683" s="5"/>
      <c r="H683" s="5"/>
    </row>
    <row r="684" spans="2:8" x14ac:dyDescent="0.35">
      <c r="B684" s="25"/>
      <c r="C684" s="4"/>
      <c r="D684" s="5"/>
      <c r="E684" s="5"/>
      <c r="F684" s="5"/>
      <c r="G684" s="5"/>
      <c r="H684" s="5"/>
    </row>
    <row r="685" spans="2:8" x14ac:dyDescent="0.35">
      <c r="B685" s="25"/>
      <c r="C685" s="4"/>
      <c r="D685" s="5"/>
      <c r="E685" s="5"/>
      <c r="F685" s="5"/>
      <c r="G685" s="5"/>
      <c r="H685" s="5"/>
    </row>
    <row r="686" spans="2:8" x14ac:dyDescent="0.35">
      <c r="B686" s="25"/>
      <c r="C686" s="4"/>
      <c r="D686" s="5"/>
      <c r="E686" s="5"/>
      <c r="F686" s="5"/>
      <c r="G686" s="5"/>
      <c r="H686" s="5"/>
    </row>
    <row r="687" spans="2:8" x14ac:dyDescent="0.35">
      <c r="B687" s="25"/>
      <c r="C687" s="4"/>
      <c r="D687" s="5"/>
      <c r="E687" s="5"/>
      <c r="F687" s="5"/>
      <c r="G687" s="5"/>
      <c r="H687" s="5"/>
    </row>
    <row r="688" spans="2:8" x14ac:dyDescent="0.35">
      <c r="B688" s="25"/>
      <c r="C688" s="4"/>
      <c r="D688" s="5"/>
      <c r="E688" s="5"/>
      <c r="F688" s="5"/>
      <c r="G688" s="5"/>
      <c r="H688" s="5"/>
    </row>
    <row r="689" spans="2:8" x14ac:dyDescent="0.35">
      <c r="B689" s="25"/>
      <c r="C689" s="4"/>
      <c r="D689" s="5"/>
      <c r="E689" s="5"/>
      <c r="F689" s="5"/>
      <c r="G689" s="5"/>
      <c r="H689" s="5"/>
    </row>
    <row r="690" spans="2:8" x14ac:dyDescent="0.35">
      <c r="B690" s="25"/>
      <c r="C690" s="4"/>
      <c r="D690" s="5"/>
      <c r="E690" s="5"/>
      <c r="F690" s="5"/>
      <c r="G690" s="5"/>
      <c r="H690" s="5"/>
    </row>
    <row r="691" spans="2:8" x14ac:dyDescent="0.35">
      <c r="B691" s="25"/>
      <c r="C691" s="4"/>
      <c r="D691" s="5"/>
      <c r="E691" s="5"/>
      <c r="F691" s="5"/>
      <c r="G691" s="5"/>
      <c r="H691" s="5"/>
    </row>
    <row r="692" spans="2:8" x14ac:dyDescent="0.35">
      <c r="B692" s="25"/>
      <c r="C692" s="4"/>
      <c r="D692" s="5"/>
      <c r="E692" s="5"/>
      <c r="F692" s="5"/>
      <c r="G692" s="5"/>
      <c r="H692" s="5"/>
    </row>
    <row r="693" spans="2:8" x14ac:dyDescent="0.35">
      <c r="B693" s="25"/>
      <c r="C693" s="4"/>
      <c r="D693" s="5"/>
      <c r="E693" s="5"/>
      <c r="F693" s="5"/>
      <c r="G693" s="5"/>
      <c r="H693" s="5"/>
    </row>
    <row r="694" spans="2:8" x14ac:dyDescent="0.35">
      <c r="B694" s="25"/>
      <c r="C694" s="4"/>
      <c r="D694" s="5"/>
      <c r="E694" s="5"/>
      <c r="F694" s="5"/>
      <c r="G694" s="5"/>
      <c r="H694" s="5"/>
    </row>
    <row r="695" spans="2:8" x14ac:dyDescent="0.35">
      <c r="B695" s="25"/>
      <c r="C695" s="4"/>
      <c r="D695" s="5"/>
      <c r="E695" s="5"/>
      <c r="F695" s="5"/>
      <c r="G695" s="5"/>
      <c r="H695" s="5"/>
    </row>
    <row r="696" spans="2:8" x14ac:dyDescent="0.35">
      <c r="B696" s="25"/>
      <c r="C696" s="4"/>
      <c r="D696" s="5"/>
      <c r="E696" s="5"/>
      <c r="F696" s="5"/>
      <c r="G696" s="5"/>
      <c r="H696" s="5"/>
    </row>
    <row r="697" spans="2:8" x14ac:dyDescent="0.35">
      <c r="B697" s="25"/>
      <c r="C697" s="4"/>
      <c r="D697" s="5"/>
      <c r="E697" s="5"/>
      <c r="F697" s="5"/>
      <c r="G697" s="5"/>
      <c r="H697" s="5"/>
    </row>
    <row r="698" spans="2:8" x14ac:dyDescent="0.35">
      <c r="B698" s="25"/>
      <c r="C698" s="4"/>
      <c r="D698" s="5"/>
      <c r="E698" s="5"/>
      <c r="F698" s="5"/>
      <c r="G698" s="5"/>
      <c r="H698" s="5"/>
    </row>
    <row r="699" spans="2:8" x14ac:dyDescent="0.35">
      <c r="B699" s="25"/>
      <c r="C699" s="4"/>
      <c r="D699" s="5"/>
      <c r="E699" s="5"/>
      <c r="F699" s="5"/>
      <c r="G699" s="5"/>
      <c r="H699" s="5"/>
    </row>
    <row r="700" spans="2:8" x14ac:dyDescent="0.35">
      <c r="B700" s="25"/>
      <c r="C700" s="4"/>
      <c r="D700" s="5"/>
      <c r="E700" s="5"/>
      <c r="F700" s="5"/>
      <c r="G700" s="5"/>
      <c r="H700" s="5"/>
    </row>
    <row r="701" spans="2:8" x14ac:dyDescent="0.35">
      <c r="B701" s="25"/>
      <c r="C701" s="4"/>
      <c r="D701" s="5"/>
      <c r="E701" s="5"/>
      <c r="F701" s="5"/>
      <c r="G701" s="5"/>
      <c r="H701" s="5"/>
    </row>
    <row r="702" spans="2:8" x14ac:dyDescent="0.35">
      <c r="B702" s="25"/>
      <c r="C702" s="4"/>
      <c r="D702" s="5"/>
      <c r="E702" s="5"/>
      <c r="F702" s="5"/>
      <c r="G702" s="5"/>
      <c r="H702" s="5"/>
    </row>
    <row r="703" spans="2:8" x14ac:dyDescent="0.35">
      <c r="B703" s="25"/>
      <c r="C703" s="4"/>
      <c r="D703" s="5"/>
      <c r="E703" s="5"/>
      <c r="F703" s="5"/>
      <c r="G703" s="5"/>
      <c r="H703" s="5"/>
    </row>
    <row r="704" spans="2:8" x14ac:dyDescent="0.35">
      <c r="B704" s="25"/>
      <c r="C704" s="4"/>
      <c r="D704" s="5"/>
      <c r="E704" s="5"/>
      <c r="F704" s="5"/>
      <c r="G704" s="5"/>
      <c r="H704" s="5"/>
    </row>
    <row r="705" spans="2:8" x14ac:dyDescent="0.35">
      <c r="B705" s="25"/>
      <c r="C705" s="4"/>
      <c r="D705" s="5"/>
      <c r="E705" s="5"/>
      <c r="F705" s="5"/>
      <c r="G705" s="5"/>
      <c r="H705" s="5"/>
    </row>
    <row r="706" spans="2:8" x14ac:dyDescent="0.35">
      <c r="B706" s="25"/>
      <c r="C706" s="4"/>
      <c r="D706" s="5"/>
      <c r="E706" s="5"/>
      <c r="F706" s="5"/>
      <c r="G706" s="5"/>
      <c r="H706" s="5"/>
    </row>
    <row r="707" spans="2:8" x14ac:dyDescent="0.35">
      <c r="B707" s="25"/>
      <c r="C707" s="4"/>
      <c r="D707" s="5"/>
      <c r="E707" s="5"/>
      <c r="F707" s="5"/>
      <c r="G707" s="5"/>
      <c r="H707" s="5"/>
    </row>
    <row r="708" spans="2:8" x14ac:dyDescent="0.35">
      <c r="B708" s="25"/>
      <c r="C708" s="4"/>
      <c r="D708" s="5"/>
      <c r="E708" s="5"/>
      <c r="F708" s="5"/>
      <c r="G708" s="5"/>
      <c r="H708" s="5"/>
    </row>
    <row r="709" spans="2:8" x14ac:dyDescent="0.35">
      <c r="B709" s="25"/>
      <c r="C709" s="4"/>
      <c r="D709" s="5"/>
      <c r="E709" s="5"/>
      <c r="F709" s="5"/>
      <c r="G709" s="5"/>
      <c r="H709" s="5"/>
    </row>
    <row r="710" spans="2:8" x14ac:dyDescent="0.35">
      <c r="B710" s="25"/>
      <c r="C710" s="4"/>
      <c r="D710" s="5"/>
      <c r="E710" s="5"/>
      <c r="F710" s="5"/>
      <c r="G710" s="5"/>
      <c r="H710" s="5"/>
    </row>
    <row r="711" spans="2:8" x14ac:dyDescent="0.35">
      <c r="B711" s="25"/>
      <c r="C711" s="4"/>
      <c r="D711" s="5"/>
      <c r="E711" s="5"/>
      <c r="F711" s="5"/>
      <c r="G711" s="5"/>
      <c r="H711" s="5"/>
    </row>
    <row r="712" spans="2:8" x14ac:dyDescent="0.35">
      <c r="B712" s="25"/>
      <c r="C712" s="4"/>
      <c r="D712" s="5"/>
      <c r="E712" s="5"/>
      <c r="F712" s="5"/>
      <c r="G712" s="5"/>
      <c r="H712" s="5"/>
    </row>
    <row r="713" spans="2:8" x14ac:dyDescent="0.35">
      <c r="B713" s="25"/>
      <c r="C713" s="4"/>
      <c r="D713" s="5"/>
      <c r="E713" s="5"/>
      <c r="F713" s="5"/>
      <c r="G713" s="5"/>
      <c r="H713" s="5"/>
    </row>
    <row r="714" spans="2:8" x14ac:dyDescent="0.35">
      <c r="B714" s="25"/>
      <c r="C714" s="4"/>
      <c r="D714" s="5"/>
      <c r="E714" s="5"/>
      <c r="F714" s="5"/>
      <c r="G714" s="5"/>
      <c r="H714" s="5"/>
    </row>
    <row r="715" spans="2:8" x14ac:dyDescent="0.35">
      <c r="B715" s="25"/>
      <c r="C715" s="4"/>
      <c r="D715" s="5"/>
      <c r="E715" s="5"/>
      <c r="F715" s="5"/>
      <c r="G715" s="5"/>
      <c r="H715" s="5"/>
    </row>
    <row r="716" spans="2:8" x14ac:dyDescent="0.35">
      <c r="B716" s="25"/>
      <c r="C716" s="4"/>
      <c r="D716" s="5"/>
      <c r="E716" s="5"/>
      <c r="F716" s="5"/>
      <c r="G716" s="5"/>
      <c r="H716" s="5"/>
    </row>
    <row r="717" spans="2:8" x14ac:dyDescent="0.35">
      <c r="B717" s="25"/>
      <c r="C717" s="4"/>
      <c r="D717" s="5"/>
      <c r="E717" s="5"/>
      <c r="F717" s="5"/>
      <c r="G717" s="5"/>
      <c r="H717" s="5"/>
    </row>
    <row r="718" spans="2:8" x14ac:dyDescent="0.35">
      <c r="B718" s="25"/>
      <c r="C718" s="4"/>
      <c r="D718" s="5"/>
      <c r="E718" s="5"/>
      <c r="F718" s="5"/>
      <c r="G718" s="5"/>
      <c r="H718" s="5"/>
    </row>
    <row r="719" spans="2:8" x14ac:dyDescent="0.35">
      <c r="B719" s="25"/>
      <c r="C719" s="4"/>
      <c r="D719" s="5"/>
      <c r="E719" s="5"/>
      <c r="F719" s="5"/>
      <c r="G719" s="5"/>
      <c r="H719" s="5"/>
    </row>
    <row r="720" spans="2:8" x14ac:dyDescent="0.35">
      <c r="B720" s="25"/>
      <c r="C720" s="4"/>
      <c r="D720" s="5"/>
      <c r="E720" s="5"/>
      <c r="F720" s="5"/>
      <c r="G720" s="5"/>
      <c r="H720" s="5"/>
    </row>
    <row r="721" spans="2:8" x14ac:dyDescent="0.35">
      <c r="B721" s="25"/>
      <c r="C721" s="4"/>
      <c r="D721" s="5"/>
      <c r="E721" s="5"/>
      <c r="F721" s="5"/>
      <c r="G721" s="5"/>
      <c r="H721" s="5"/>
    </row>
    <row r="722" spans="2:8" x14ac:dyDescent="0.35">
      <c r="B722" s="25"/>
      <c r="C722" s="4"/>
      <c r="D722" s="5"/>
      <c r="E722" s="5"/>
      <c r="F722" s="5"/>
      <c r="G722" s="5"/>
      <c r="H722" s="5"/>
    </row>
    <row r="723" spans="2:8" x14ac:dyDescent="0.35">
      <c r="B723" s="25"/>
      <c r="C723" s="4"/>
      <c r="D723" s="5"/>
      <c r="E723" s="5"/>
      <c r="F723" s="5"/>
      <c r="G723" s="5"/>
      <c r="H723" s="5"/>
    </row>
    <row r="724" spans="2:8" x14ac:dyDescent="0.35">
      <c r="B724" s="25"/>
      <c r="C724" s="4"/>
      <c r="D724" s="5"/>
      <c r="E724" s="5"/>
      <c r="F724" s="5"/>
      <c r="G724" s="5"/>
      <c r="H724" s="5"/>
    </row>
    <row r="725" spans="2:8" x14ac:dyDescent="0.35">
      <c r="B725" s="25"/>
      <c r="C725" s="4"/>
      <c r="D725" s="5"/>
      <c r="E725" s="5"/>
      <c r="F725" s="5"/>
      <c r="G725" s="5"/>
      <c r="H725" s="5"/>
    </row>
    <row r="726" spans="2:8" x14ac:dyDescent="0.35">
      <c r="B726" s="25"/>
      <c r="C726" s="4"/>
      <c r="D726" s="5"/>
      <c r="E726" s="5"/>
      <c r="F726" s="5"/>
      <c r="G726" s="5"/>
      <c r="H726" s="5"/>
    </row>
    <row r="727" spans="2:8" x14ac:dyDescent="0.35">
      <c r="B727" s="25"/>
      <c r="C727" s="4"/>
      <c r="D727" s="5"/>
      <c r="E727" s="5"/>
      <c r="F727" s="5"/>
      <c r="G727" s="5"/>
      <c r="H727" s="5"/>
    </row>
    <row r="728" spans="2:8" x14ac:dyDescent="0.35">
      <c r="B728" s="25"/>
      <c r="C728" s="4"/>
      <c r="D728" s="5"/>
      <c r="E728" s="5"/>
      <c r="F728" s="5"/>
      <c r="G728" s="5"/>
      <c r="H728" s="5"/>
    </row>
    <row r="729" spans="2:8" x14ac:dyDescent="0.35">
      <c r="B729" s="25"/>
      <c r="C729" s="4"/>
      <c r="D729" s="5"/>
      <c r="E729" s="5"/>
      <c r="F729" s="5"/>
      <c r="G729" s="5"/>
      <c r="H729" s="5"/>
    </row>
    <row r="730" spans="2:8" x14ac:dyDescent="0.35">
      <c r="B730" s="25"/>
      <c r="C730" s="4"/>
      <c r="D730" s="5"/>
      <c r="E730" s="5"/>
      <c r="F730" s="5"/>
      <c r="G730" s="5"/>
      <c r="H730" s="5"/>
    </row>
    <row r="731" spans="2:8" x14ac:dyDescent="0.35">
      <c r="B731" s="25"/>
      <c r="C731" s="4"/>
      <c r="D731" s="5"/>
      <c r="E731" s="5"/>
      <c r="F731" s="5"/>
      <c r="G731" s="5"/>
      <c r="H731" s="5"/>
    </row>
    <row r="732" spans="2:8" x14ac:dyDescent="0.35">
      <c r="B732" s="25"/>
      <c r="C732" s="4"/>
      <c r="D732" s="5"/>
      <c r="E732" s="5"/>
      <c r="F732" s="5"/>
      <c r="G732" s="5"/>
      <c r="H732" s="5"/>
    </row>
    <row r="733" spans="2:8" x14ac:dyDescent="0.35">
      <c r="B733" s="25"/>
      <c r="C733" s="4"/>
      <c r="D733" s="5"/>
      <c r="E733" s="5"/>
      <c r="F733" s="5"/>
      <c r="G733" s="5"/>
      <c r="H733" s="5"/>
    </row>
    <row r="734" spans="2:8" x14ac:dyDescent="0.35">
      <c r="B734" s="25"/>
      <c r="C734" s="4"/>
      <c r="D734" s="5"/>
      <c r="E734" s="5"/>
      <c r="F734" s="5"/>
      <c r="G734" s="5"/>
      <c r="H734" s="5"/>
    </row>
    <row r="735" spans="2:8" x14ac:dyDescent="0.35">
      <c r="B735" s="25"/>
      <c r="C735" s="4"/>
      <c r="D735" s="5"/>
      <c r="E735" s="5"/>
      <c r="F735" s="5"/>
      <c r="G735" s="5"/>
      <c r="H735" s="5"/>
    </row>
    <row r="736" spans="2:8" x14ac:dyDescent="0.35">
      <c r="B736" s="25"/>
      <c r="C736" s="4"/>
      <c r="D736" s="5"/>
      <c r="E736" s="5"/>
      <c r="F736" s="5"/>
      <c r="G736" s="5"/>
      <c r="H736" s="5"/>
    </row>
    <row r="737" spans="2:8" x14ac:dyDescent="0.35">
      <c r="B737" s="25"/>
      <c r="C737" s="4"/>
      <c r="D737" s="5"/>
      <c r="E737" s="5"/>
      <c r="F737" s="5"/>
      <c r="G737" s="5"/>
      <c r="H737" s="5"/>
    </row>
    <row r="738" spans="2:8" x14ac:dyDescent="0.35">
      <c r="B738" s="25"/>
      <c r="C738" s="4"/>
      <c r="D738" s="5"/>
      <c r="E738" s="5"/>
      <c r="F738" s="5"/>
      <c r="G738" s="5"/>
      <c r="H738" s="5"/>
    </row>
    <row r="739" spans="2:8" x14ac:dyDescent="0.35">
      <c r="B739" s="25"/>
      <c r="C739" s="4"/>
      <c r="D739" s="5"/>
      <c r="E739" s="5"/>
      <c r="F739" s="5"/>
      <c r="G739" s="5"/>
      <c r="H739" s="5"/>
    </row>
    <row r="740" spans="2:8" x14ac:dyDescent="0.35">
      <c r="B740" s="25"/>
      <c r="C740" s="4"/>
      <c r="D740" s="5"/>
      <c r="E740" s="5"/>
      <c r="F740" s="5"/>
      <c r="G740" s="5"/>
      <c r="H740" s="5"/>
    </row>
    <row r="741" spans="2:8" x14ac:dyDescent="0.35">
      <c r="B741" s="25"/>
      <c r="C741" s="4"/>
      <c r="D741" s="5"/>
      <c r="E741" s="5"/>
      <c r="F741" s="5"/>
      <c r="G741" s="5"/>
      <c r="H741" s="5"/>
    </row>
    <row r="742" spans="2:8" x14ac:dyDescent="0.35">
      <c r="B742" s="25"/>
      <c r="C742" s="4"/>
      <c r="D742" s="5"/>
      <c r="E742" s="5"/>
      <c r="F742" s="5"/>
      <c r="G742" s="5"/>
      <c r="H742" s="5"/>
    </row>
    <row r="743" spans="2:8" x14ac:dyDescent="0.35">
      <c r="B743" s="25"/>
      <c r="C743" s="4"/>
      <c r="D743" s="5"/>
      <c r="E743" s="5"/>
      <c r="F743" s="5"/>
      <c r="G743" s="5"/>
      <c r="H743" s="5"/>
    </row>
    <row r="744" spans="2:8" x14ac:dyDescent="0.35">
      <c r="B744" s="25"/>
      <c r="C744" s="4"/>
      <c r="D744" s="5"/>
      <c r="E744" s="5"/>
      <c r="F744" s="5"/>
      <c r="G744" s="5"/>
      <c r="H744" s="5"/>
    </row>
    <row r="745" spans="2:8" x14ac:dyDescent="0.35">
      <c r="B745" s="25"/>
      <c r="C745" s="4"/>
      <c r="D745" s="5"/>
      <c r="E745" s="5"/>
      <c r="F745" s="5"/>
      <c r="G745" s="5"/>
      <c r="H745" s="5"/>
    </row>
    <row r="746" spans="2:8" x14ac:dyDescent="0.35">
      <c r="B746" s="25"/>
      <c r="C746" s="4"/>
      <c r="D746" s="5"/>
      <c r="E746" s="5"/>
      <c r="F746" s="5"/>
      <c r="G746" s="5"/>
      <c r="H746" s="5"/>
    </row>
    <row r="747" spans="2:8" x14ac:dyDescent="0.35">
      <c r="B747" s="25"/>
      <c r="C747" s="4"/>
      <c r="D747" s="5"/>
      <c r="E747" s="5"/>
      <c r="F747" s="5"/>
      <c r="G747" s="5"/>
      <c r="H747" s="5"/>
    </row>
    <row r="748" spans="2:8" x14ac:dyDescent="0.35">
      <c r="B748" s="25"/>
      <c r="C748" s="4"/>
      <c r="D748" s="5"/>
      <c r="E748" s="5"/>
      <c r="F748" s="5"/>
      <c r="G748" s="5"/>
      <c r="H748" s="5"/>
    </row>
    <row r="749" spans="2:8" x14ac:dyDescent="0.35">
      <c r="B749" s="25"/>
      <c r="C749" s="4"/>
      <c r="D749" s="5"/>
      <c r="E749" s="5"/>
      <c r="F749" s="5"/>
      <c r="G749" s="5"/>
      <c r="H749" s="5"/>
    </row>
    <row r="750" spans="2:8" x14ac:dyDescent="0.35">
      <c r="B750" s="25"/>
      <c r="C750" s="4"/>
      <c r="D750" s="5"/>
      <c r="E750" s="5"/>
      <c r="F750" s="5"/>
      <c r="G750" s="5"/>
      <c r="H750" s="5"/>
    </row>
    <row r="751" spans="2:8" x14ac:dyDescent="0.35">
      <c r="B751" s="25"/>
      <c r="C751" s="4"/>
      <c r="D751" s="5"/>
      <c r="E751" s="5"/>
      <c r="F751" s="5"/>
      <c r="G751" s="5"/>
      <c r="H751" s="5"/>
    </row>
    <row r="752" spans="2:8" x14ac:dyDescent="0.35">
      <c r="B752" s="25"/>
      <c r="C752" s="4"/>
      <c r="D752" s="5"/>
      <c r="E752" s="5"/>
      <c r="F752" s="5"/>
      <c r="G752" s="5"/>
      <c r="H752" s="5"/>
    </row>
    <row r="753" spans="2:8" x14ac:dyDescent="0.35">
      <c r="B753" s="25"/>
      <c r="C753" s="4"/>
      <c r="D753" s="5"/>
      <c r="E753" s="5"/>
      <c r="F753" s="5"/>
      <c r="G753" s="5"/>
      <c r="H753" s="5"/>
    </row>
    <row r="754" spans="2:8" x14ac:dyDescent="0.35">
      <c r="B754" s="25"/>
      <c r="C754" s="4"/>
      <c r="D754" s="5"/>
      <c r="E754" s="5"/>
      <c r="F754" s="5"/>
      <c r="G754" s="5"/>
      <c r="H754" s="5"/>
    </row>
    <row r="755" spans="2:8" x14ac:dyDescent="0.35">
      <c r="B755" s="25"/>
      <c r="C755" s="4"/>
      <c r="D755" s="5"/>
      <c r="E755" s="5"/>
      <c r="F755" s="5"/>
      <c r="G755" s="5"/>
      <c r="H755" s="5"/>
    </row>
    <row r="756" spans="2:8" x14ac:dyDescent="0.35">
      <c r="B756" s="25"/>
      <c r="C756" s="4"/>
      <c r="D756" s="5"/>
      <c r="E756" s="5"/>
      <c r="F756" s="5"/>
      <c r="G756" s="5"/>
      <c r="H756" s="5"/>
    </row>
    <row r="757" spans="2:8" x14ac:dyDescent="0.35">
      <c r="B757" s="25"/>
      <c r="C757" s="4"/>
      <c r="D757" s="5"/>
      <c r="E757" s="5"/>
      <c r="F757" s="5"/>
      <c r="G757" s="5"/>
      <c r="H757" s="5"/>
    </row>
    <row r="758" spans="2:8" x14ac:dyDescent="0.35">
      <c r="B758" s="25"/>
      <c r="C758" s="4"/>
      <c r="D758" s="5"/>
      <c r="E758" s="5"/>
      <c r="F758" s="5"/>
      <c r="G758" s="5"/>
      <c r="H758" s="5"/>
    </row>
    <row r="759" spans="2:8" x14ac:dyDescent="0.35">
      <c r="B759" s="25"/>
      <c r="C759" s="4"/>
      <c r="D759" s="5"/>
      <c r="E759" s="5"/>
      <c r="F759" s="5"/>
      <c r="G759" s="5"/>
      <c r="H759" s="5"/>
    </row>
    <row r="760" spans="2:8" x14ac:dyDescent="0.35">
      <c r="B760" s="25"/>
      <c r="C760" s="4"/>
      <c r="D760" s="5"/>
      <c r="E760" s="5"/>
      <c r="F760" s="5"/>
      <c r="G760" s="5"/>
      <c r="H760" s="5"/>
    </row>
    <row r="761" spans="2:8" x14ac:dyDescent="0.35">
      <c r="B761" s="25"/>
      <c r="C761" s="4"/>
      <c r="D761" s="5"/>
      <c r="E761" s="5"/>
      <c r="F761" s="5"/>
      <c r="G761" s="5"/>
      <c r="H761" s="5"/>
    </row>
    <row r="762" spans="2:8" x14ac:dyDescent="0.35">
      <c r="B762" s="25"/>
      <c r="C762" s="4"/>
      <c r="D762" s="5"/>
      <c r="E762" s="5"/>
      <c r="F762" s="5"/>
      <c r="G762" s="5"/>
      <c r="H762" s="5"/>
    </row>
    <row r="763" spans="2:8" x14ac:dyDescent="0.35">
      <c r="B763" s="25"/>
      <c r="C763" s="4"/>
      <c r="D763" s="5"/>
      <c r="E763" s="5"/>
      <c r="F763" s="5"/>
      <c r="G763" s="5"/>
      <c r="H763" s="5"/>
    </row>
    <row r="764" spans="2:8" x14ac:dyDescent="0.35">
      <c r="B764" s="25"/>
      <c r="C764" s="4"/>
      <c r="D764" s="5"/>
      <c r="E764" s="5"/>
      <c r="F764" s="5"/>
      <c r="G764" s="5"/>
      <c r="H764" s="5"/>
    </row>
    <row r="765" spans="2:8" x14ac:dyDescent="0.35">
      <c r="B765" s="25"/>
      <c r="C765" s="4"/>
      <c r="D765" s="5"/>
      <c r="E765" s="5"/>
      <c r="F765" s="5"/>
      <c r="G765" s="5"/>
      <c r="H765" s="5"/>
    </row>
    <row r="766" spans="2:8" x14ac:dyDescent="0.35">
      <c r="B766" s="25"/>
      <c r="C766" s="4"/>
      <c r="D766" s="5"/>
      <c r="E766" s="5"/>
      <c r="F766" s="5"/>
      <c r="G766" s="5"/>
      <c r="H766" s="5"/>
    </row>
    <row r="767" spans="2:8" x14ac:dyDescent="0.35">
      <c r="B767" s="25"/>
      <c r="C767" s="4"/>
      <c r="D767" s="5"/>
      <c r="E767" s="5"/>
      <c r="F767" s="5"/>
      <c r="G767" s="5"/>
      <c r="H767" s="5"/>
    </row>
    <row r="768" spans="2:8" x14ac:dyDescent="0.35">
      <c r="B768" s="25"/>
      <c r="C768" s="4"/>
      <c r="D768" s="5"/>
      <c r="E768" s="5"/>
      <c r="F768" s="5"/>
      <c r="G768" s="5"/>
      <c r="H768" s="5"/>
    </row>
    <row r="769" spans="2:8" x14ac:dyDescent="0.35">
      <c r="B769" s="25"/>
      <c r="C769" s="4"/>
      <c r="D769" s="5"/>
      <c r="E769" s="5"/>
      <c r="F769" s="5"/>
      <c r="G769" s="5"/>
      <c r="H769" s="5"/>
    </row>
    <row r="770" spans="2:8" x14ac:dyDescent="0.35">
      <c r="B770" s="25"/>
      <c r="C770" s="4"/>
      <c r="D770" s="5"/>
      <c r="E770" s="5"/>
      <c r="F770" s="5"/>
      <c r="G770" s="5"/>
      <c r="H770" s="5"/>
    </row>
    <row r="771" spans="2:8" x14ac:dyDescent="0.35">
      <c r="B771" s="25"/>
      <c r="C771" s="4"/>
      <c r="D771" s="5"/>
      <c r="E771" s="5"/>
      <c r="F771" s="5"/>
      <c r="G771" s="5"/>
      <c r="H771" s="5"/>
    </row>
    <row r="772" spans="2:8" x14ac:dyDescent="0.35">
      <c r="B772" s="25"/>
      <c r="C772" s="4"/>
      <c r="D772" s="5"/>
      <c r="E772" s="5"/>
      <c r="F772" s="5"/>
      <c r="G772" s="5"/>
      <c r="H772" s="5"/>
    </row>
    <row r="773" spans="2:8" x14ac:dyDescent="0.35">
      <c r="B773" s="25"/>
      <c r="C773" s="4"/>
      <c r="D773" s="5"/>
      <c r="E773" s="5"/>
      <c r="F773" s="5"/>
      <c r="G773" s="5"/>
      <c r="H773" s="5"/>
    </row>
    <row r="774" spans="2:8" x14ac:dyDescent="0.35">
      <c r="B774" s="25"/>
      <c r="C774" s="4"/>
      <c r="D774" s="5"/>
      <c r="E774" s="5"/>
      <c r="F774" s="5"/>
      <c r="G774" s="5"/>
      <c r="H774" s="5"/>
    </row>
    <row r="775" spans="2:8" x14ac:dyDescent="0.35">
      <c r="B775" s="25"/>
      <c r="C775" s="4"/>
      <c r="D775" s="5"/>
      <c r="E775" s="5"/>
      <c r="F775" s="5"/>
      <c r="G775" s="5"/>
      <c r="H775" s="5"/>
    </row>
    <row r="776" spans="2:8" x14ac:dyDescent="0.35">
      <c r="B776" s="25"/>
      <c r="C776" s="4"/>
      <c r="D776" s="5"/>
      <c r="E776" s="5"/>
      <c r="F776" s="5"/>
      <c r="G776" s="5"/>
      <c r="H776" s="5"/>
    </row>
    <row r="777" spans="2:8" x14ac:dyDescent="0.35">
      <c r="B777" s="25"/>
      <c r="C777" s="4"/>
      <c r="D777" s="5"/>
      <c r="E777" s="5"/>
      <c r="F777" s="5"/>
      <c r="G777" s="5"/>
      <c r="H777" s="5"/>
    </row>
    <row r="778" spans="2:8" x14ac:dyDescent="0.35">
      <c r="B778" s="25"/>
      <c r="C778" s="4"/>
      <c r="D778" s="5"/>
      <c r="E778" s="5"/>
      <c r="F778" s="5"/>
      <c r="G778" s="5"/>
      <c r="H778" s="5"/>
    </row>
    <row r="779" spans="2:8" x14ac:dyDescent="0.35">
      <c r="B779" s="25"/>
      <c r="C779" s="4"/>
      <c r="D779" s="5"/>
      <c r="E779" s="5"/>
      <c r="F779" s="5"/>
      <c r="G779" s="5"/>
      <c r="H779" s="5"/>
    </row>
    <row r="780" spans="2:8" x14ac:dyDescent="0.35">
      <c r="B780" s="25"/>
      <c r="C780" s="4"/>
      <c r="D780" s="5"/>
      <c r="E780" s="5"/>
      <c r="F780" s="5"/>
      <c r="G780" s="5"/>
      <c r="H780" s="5"/>
    </row>
    <row r="781" spans="2:8" x14ac:dyDescent="0.35">
      <c r="B781" s="25"/>
      <c r="C781" s="4"/>
      <c r="D781" s="5"/>
      <c r="E781" s="5"/>
      <c r="F781" s="5"/>
      <c r="G781" s="5"/>
      <c r="H781" s="5"/>
    </row>
    <row r="782" spans="2:8" x14ac:dyDescent="0.35">
      <c r="B782" s="25"/>
      <c r="C782" s="4"/>
      <c r="D782" s="5"/>
      <c r="E782" s="5"/>
      <c r="F782" s="5"/>
      <c r="G782" s="5"/>
      <c r="H782" s="5"/>
    </row>
    <row r="783" spans="2:8" x14ac:dyDescent="0.35">
      <c r="B783" s="25"/>
      <c r="C783" s="4"/>
      <c r="D783" s="5"/>
      <c r="E783" s="5"/>
      <c r="F783" s="5"/>
      <c r="G783" s="5"/>
      <c r="H783" s="5"/>
    </row>
    <row r="784" spans="2:8" x14ac:dyDescent="0.35">
      <c r="B784" s="25"/>
      <c r="C784" s="4"/>
      <c r="D784" s="5"/>
      <c r="E784" s="5"/>
      <c r="F784" s="5"/>
      <c r="G784" s="5"/>
      <c r="H784" s="5"/>
    </row>
    <row r="785" spans="2:8" x14ac:dyDescent="0.35">
      <c r="B785" s="25"/>
      <c r="C785" s="4"/>
      <c r="D785" s="5"/>
      <c r="E785" s="5"/>
      <c r="F785" s="5"/>
      <c r="G785" s="5"/>
      <c r="H785" s="5"/>
    </row>
    <row r="786" spans="2:8" x14ac:dyDescent="0.35">
      <c r="B786" s="25"/>
      <c r="C786" s="4"/>
      <c r="D786" s="5"/>
      <c r="E786" s="5"/>
      <c r="F786" s="5"/>
      <c r="G786" s="5"/>
      <c r="H786" s="5"/>
    </row>
    <row r="787" spans="2:8" x14ac:dyDescent="0.35">
      <c r="B787" s="25"/>
      <c r="C787" s="4"/>
      <c r="D787" s="5"/>
      <c r="E787" s="5"/>
      <c r="F787" s="5"/>
      <c r="G787" s="5"/>
      <c r="H787" s="5"/>
    </row>
    <row r="788" spans="2:8" x14ac:dyDescent="0.35">
      <c r="B788" s="25"/>
      <c r="C788" s="4"/>
      <c r="D788" s="5"/>
      <c r="E788" s="5"/>
      <c r="F788" s="5"/>
      <c r="G788" s="5"/>
      <c r="H788" s="5"/>
    </row>
    <row r="789" spans="2:8" x14ac:dyDescent="0.35">
      <c r="B789" s="25"/>
      <c r="C789" s="4"/>
      <c r="D789" s="5"/>
      <c r="E789" s="5"/>
      <c r="F789" s="5"/>
      <c r="G789" s="5"/>
      <c r="H789" s="5"/>
    </row>
    <row r="790" spans="2:8" x14ac:dyDescent="0.35">
      <c r="B790" s="25"/>
      <c r="C790" s="4"/>
      <c r="D790" s="5"/>
      <c r="E790" s="5"/>
      <c r="F790" s="5"/>
      <c r="G790" s="5"/>
      <c r="H790" s="5"/>
    </row>
    <row r="791" spans="2:8" x14ac:dyDescent="0.35">
      <c r="B791" s="25"/>
      <c r="C791" s="4"/>
      <c r="D791" s="5"/>
      <c r="E791" s="5"/>
      <c r="F791" s="5"/>
      <c r="G791" s="5"/>
      <c r="H791" s="5"/>
    </row>
    <row r="792" spans="2:8" x14ac:dyDescent="0.35">
      <c r="B792" s="25"/>
      <c r="C792" s="4"/>
      <c r="D792" s="5"/>
      <c r="E792" s="5"/>
      <c r="F792" s="5"/>
      <c r="G792" s="5"/>
      <c r="H792" s="5"/>
    </row>
    <row r="793" spans="2:8" x14ac:dyDescent="0.35">
      <c r="B793" s="25"/>
      <c r="C793" s="4"/>
      <c r="D793" s="5"/>
      <c r="E793" s="5"/>
      <c r="F793" s="5"/>
      <c r="G793" s="5"/>
      <c r="H793" s="5"/>
    </row>
    <row r="794" spans="2:8" x14ac:dyDescent="0.35">
      <c r="B794" s="25"/>
      <c r="C794" s="4"/>
      <c r="D794" s="5"/>
      <c r="E794" s="5"/>
      <c r="F794" s="5"/>
      <c r="G794" s="5"/>
      <c r="H794" s="5"/>
    </row>
    <row r="795" spans="2:8" x14ac:dyDescent="0.35">
      <c r="B795" s="25"/>
      <c r="C795" s="4"/>
      <c r="D795" s="5"/>
      <c r="E795" s="5"/>
      <c r="F795" s="5"/>
      <c r="G795" s="5"/>
      <c r="H795" s="5"/>
    </row>
    <row r="796" spans="2:8" x14ac:dyDescent="0.35">
      <c r="B796" s="25"/>
      <c r="C796" s="4"/>
      <c r="D796" s="5"/>
      <c r="E796" s="5"/>
      <c r="F796" s="5"/>
      <c r="G796" s="5"/>
      <c r="H796" s="5"/>
    </row>
    <row r="797" spans="2:8" x14ac:dyDescent="0.35">
      <c r="B797" s="25"/>
      <c r="C797" s="4"/>
      <c r="D797" s="5"/>
      <c r="E797" s="5"/>
      <c r="F797" s="5"/>
      <c r="G797" s="5"/>
      <c r="H797" s="5"/>
    </row>
    <row r="798" spans="2:8" x14ac:dyDescent="0.35">
      <c r="B798" s="25"/>
      <c r="C798" s="4"/>
      <c r="D798" s="5"/>
      <c r="E798" s="5"/>
      <c r="F798" s="5"/>
      <c r="G798" s="5"/>
      <c r="H798" s="5"/>
    </row>
    <row r="799" spans="2:8" x14ac:dyDescent="0.35">
      <c r="B799" s="25"/>
      <c r="C799" s="4"/>
      <c r="D799" s="5"/>
      <c r="E799" s="5"/>
      <c r="F799" s="5"/>
      <c r="G799" s="5"/>
      <c r="H799" s="5"/>
    </row>
    <row r="800" spans="2:8" x14ac:dyDescent="0.35">
      <c r="B800" s="25"/>
      <c r="C800" s="4"/>
      <c r="D800" s="5"/>
      <c r="E800" s="5"/>
      <c r="F800" s="5"/>
      <c r="G800" s="5"/>
      <c r="H800" s="5"/>
    </row>
    <row r="801" spans="2:8" x14ac:dyDescent="0.35">
      <c r="B801" s="25"/>
      <c r="C801" s="4"/>
      <c r="D801" s="5"/>
      <c r="E801" s="5"/>
      <c r="F801" s="5"/>
      <c r="G801" s="5"/>
      <c r="H801" s="5"/>
    </row>
    <row r="802" spans="2:8" x14ac:dyDescent="0.35">
      <c r="B802" s="25"/>
      <c r="C802" s="4"/>
      <c r="D802" s="5"/>
      <c r="E802" s="5"/>
      <c r="F802" s="5"/>
      <c r="G802" s="5"/>
      <c r="H802" s="5"/>
    </row>
    <row r="803" spans="2:8" x14ac:dyDescent="0.35">
      <c r="B803" s="25"/>
      <c r="C803" s="4"/>
      <c r="D803" s="5"/>
      <c r="E803" s="5"/>
      <c r="F803" s="5"/>
      <c r="G803" s="5"/>
      <c r="H803" s="5"/>
    </row>
    <row r="804" spans="2:8" x14ac:dyDescent="0.35">
      <c r="B804" s="25"/>
      <c r="C804" s="4"/>
      <c r="D804" s="5"/>
      <c r="E804" s="5"/>
      <c r="F804" s="5"/>
      <c r="G804" s="5"/>
      <c r="H804" s="5"/>
    </row>
    <row r="805" spans="2:8" x14ac:dyDescent="0.35">
      <c r="B805" s="25"/>
      <c r="C805" s="4"/>
      <c r="D805" s="5"/>
      <c r="E805" s="5"/>
      <c r="F805" s="5"/>
      <c r="G805" s="5"/>
      <c r="H805" s="5"/>
    </row>
    <row r="806" spans="2:8" x14ac:dyDescent="0.35">
      <c r="B806" s="25"/>
      <c r="C806" s="4"/>
      <c r="D806" s="5"/>
      <c r="E806" s="5"/>
      <c r="F806" s="5"/>
      <c r="G806" s="5"/>
      <c r="H806" s="5"/>
    </row>
    <row r="807" spans="2:8" x14ac:dyDescent="0.35">
      <c r="B807" s="25"/>
      <c r="C807" s="4"/>
      <c r="D807" s="5"/>
      <c r="E807" s="5"/>
      <c r="F807" s="5"/>
      <c r="G807" s="5"/>
      <c r="H807" s="5"/>
    </row>
    <row r="808" spans="2:8" x14ac:dyDescent="0.35">
      <c r="B808" s="25"/>
      <c r="C808" s="4"/>
      <c r="D808" s="5"/>
      <c r="E808" s="5"/>
      <c r="F808" s="5"/>
      <c r="G808" s="5"/>
      <c r="H808" s="5"/>
    </row>
    <row r="809" spans="2:8" x14ac:dyDescent="0.35">
      <c r="B809" s="25"/>
      <c r="C809" s="4"/>
      <c r="D809" s="5"/>
      <c r="E809" s="5"/>
      <c r="F809" s="5"/>
      <c r="G809" s="5"/>
      <c r="H809" s="5"/>
    </row>
    <row r="810" spans="2:8" x14ac:dyDescent="0.35">
      <c r="B810" s="25"/>
      <c r="C810" s="4"/>
      <c r="D810" s="5"/>
      <c r="E810" s="5"/>
      <c r="F810" s="5"/>
      <c r="G810" s="5"/>
      <c r="H810" s="5"/>
    </row>
    <row r="811" spans="2:8" x14ac:dyDescent="0.35">
      <c r="B811" s="25"/>
      <c r="C811" s="4"/>
      <c r="D811" s="5"/>
      <c r="E811" s="5"/>
      <c r="F811" s="5"/>
      <c r="G811" s="5"/>
      <c r="H811" s="5"/>
    </row>
    <row r="812" spans="2:8" x14ac:dyDescent="0.35">
      <c r="B812" s="25"/>
      <c r="C812" s="4"/>
      <c r="D812" s="5"/>
      <c r="E812" s="5"/>
      <c r="F812" s="5"/>
      <c r="G812" s="5"/>
      <c r="H812" s="5"/>
    </row>
    <row r="813" spans="2:8" x14ac:dyDescent="0.35">
      <c r="B813" s="25"/>
      <c r="C813" s="4"/>
      <c r="D813" s="5"/>
      <c r="E813" s="5"/>
      <c r="F813" s="5"/>
      <c r="G813" s="5"/>
      <c r="H813" s="5"/>
    </row>
    <row r="814" spans="2:8" x14ac:dyDescent="0.35">
      <c r="B814" s="25"/>
      <c r="C814" s="4"/>
      <c r="D814" s="5"/>
      <c r="E814" s="5"/>
      <c r="F814" s="5"/>
      <c r="G814" s="5"/>
      <c r="H814" s="5"/>
    </row>
    <row r="815" spans="2:8" x14ac:dyDescent="0.35">
      <c r="B815" s="25"/>
      <c r="C815" s="4"/>
      <c r="D815" s="5"/>
      <c r="E815" s="5"/>
      <c r="F815" s="5"/>
      <c r="G815" s="5"/>
      <c r="H815" s="5"/>
    </row>
    <row r="816" spans="2:8" x14ac:dyDescent="0.35">
      <c r="B816" s="25"/>
      <c r="C816" s="4"/>
      <c r="D816" s="5"/>
      <c r="E816" s="5"/>
      <c r="F816" s="5"/>
      <c r="G816" s="5"/>
      <c r="H816" s="5"/>
    </row>
    <row r="817" spans="2:8" x14ac:dyDescent="0.35">
      <c r="B817" s="25"/>
      <c r="C817" s="4"/>
      <c r="D817" s="5"/>
      <c r="E817" s="5"/>
      <c r="F817" s="5"/>
      <c r="G817" s="5"/>
      <c r="H817" s="5"/>
    </row>
    <row r="818" spans="2:8" x14ac:dyDescent="0.35">
      <c r="B818" s="25"/>
      <c r="C818" s="4"/>
      <c r="D818" s="5"/>
      <c r="E818" s="5"/>
      <c r="F818" s="5"/>
      <c r="G818" s="5"/>
      <c r="H818" s="5"/>
    </row>
    <row r="819" spans="2:8" x14ac:dyDescent="0.35">
      <c r="B819" s="25"/>
      <c r="C819" s="4"/>
      <c r="D819" s="5"/>
      <c r="E819" s="5"/>
      <c r="F819" s="5"/>
      <c r="G819" s="5"/>
      <c r="H819" s="5"/>
    </row>
    <row r="820" spans="2:8" x14ac:dyDescent="0.35">
      <c r="B820" s="25"/>
      <c r="C820" s="4"/>
      <c r="D820" s="5"/>
      <c r="E820" s="5"/>
      <c r="F820" s="5"/>
      <c r="G820" s="5"/>
      <c r="H820" s="5"/>
    </row>
    <row r="821" spans="2:8" x14ac:dyDescent="0.35">
      <c r="B821" s="25"/>
      <c r="C821" s="4"/>
      <c r="D821" s="5"/>
      <c r="E821" s="5"/>
      <c r="F821" s="5"/>
      <c r="G821" s="5"/>
      <c r="H821" s="5"/>
    </row>
    <row r="822" spans="2:8" x14ac:dyDescent="0.35">
      <c r="B822" s="25"/>
      <c r="C822" s="4"/>
      <c r="D822" s="5"/>
      <c r="E822" s="5"/>
      <c r="F822" s="5"/>
      <c r="G822" s="5"/>
      <c r="H822" s="5"/>
    </row>
    <row r="823" spans="2:8" x14ac:dyDescent="0.35">
      <c r="B823" s="25"/>
      <c r="C823" s="4"/>
      <c r="D823" s="5"/>
      <c r="E823" s="5"/>
      <c r="F823" s="5"/>
      <c r="G823" s="5"/>
      <c r="H823" s="5"/>
    </row>
    <row r="824" spans="2:8" x14ac:dyDescent="0.35">
      <c r="B824" s="25"/>
      <c r="C824" s="4"/>
      <c r="D824" s="5"/>
      <c r="E824" s="5"/>
      <c r="F824" s="5"/>
      <c r="G824" s="5"/>
      <c r="H824" s="5"/>
    </row>
    <row r="825" spans="2:8" x14ac:dyDescent="0.35">
      <c r="B825" s="25"/>
      <c r="C825" s="4"/>
      <c r="D825" s="5"/>
      <c r="E825" s="5"/>
      <c r="F825" s="5"/>
      <c r="G825" s="5"/>
      <c r="H825" s="5"/>
    </row>
    <row r="826" spans="2:8" x14ac:dyDescent="0.35">
      <c r="B826" s="25"/>
      <c r="C826" s="4"/>
      <c r="D826" s="5"/>
      <c r="E826" s="5"/>
      <c r="F826" s="5"/>
      <c r="G826" s="5"/>
      <c r="H826" s="5"/>
    </row>
    <row r="827" spans="2:8" x14ac:dyDescent="0.35">
      <c r="B827" s="25"/>
      <c r="C827" s="4"/>
      <c r="D827" s="5"/>
      <c r="E827" s="5"/>
      <c r="F827" s="5"/>
      <c r="G827" s="5"/>
      <c r="H827" s="5"/>
    </row>
    <row r="828" spans="2:8" x14ac:dyDescent="0.35">
      <c r="B828" s="25"/>
      <c r="C828" s="4"/>
      <c r="D828" s="5"/>
      <c r="E828" s="5"/>
      <c r="F828" s="5"/>
      <c r="G828" s="5"/>
      <c r="H828" s="5"/>
    </row>
    <row r="829" spans="2:8" x14ac:dyDescent="0.35">
      <c r="B829" s="25"/>
      <c r="C829" s="4"/>
      <c r="D829" s="5"/>
      <c r="E829" s="5"/>
      <c r="F829" s="5"/>
      <c r="G829" s="5"/>
      <c r="H829" s="5"/>
    </row>
    <row r="830" spans="2:8" x14ac:dyDescent="0.35">
      <c r="B830" s="25"/>
      <c r="C830" s="4"/>
      <c r="D830" s="5"/>
      <c r="E830" s="5"/>
      <c r="F830" s="5"/>
      <c r="G830" s="5"/>
      <c r="H830" s="5"/>
    </row>
    <row r="831" spans="2:8" x14ac:dyDescent="0.35">
      <c r="B831" s="25"/>
      <c r="C831" s="4"/>
      <c r="D831" s="5"/>
      <c r="E831" s="5"/>
      <c r="F831" s="5"/>
      <c r="G831" s="5"/>
      <c r="H831" s="5"/>
    </row>
    <row r="832" spans="2:8" x14ac:dyDescent="0.35">
      <c r="B832" s="25"/>
      <c r="C832" s="4"/>
      <c r="D832" s="5"/>
      <c r="E832" s="5"/>
      <c r="F832" s="5"/>
      <c r="G832" s="5"/>
      <c r="H832" s="5"/>
    </row>
    <row r="833" spans="2:8" x14ac:dyDescent="0.35">
      <c r="B833" s="25"/>
      <c r="C833" s="4"/>
      <c r="D833" s="5"/>
      <c r="E833" s="5"/>
      <c r="F833" s="5"/>
      <c r="G833" s="5"/>
      <c r="H833" s="5"/>
    </row>
    <row r="834" spans="2:8" x14ac:dyDescent="0.35">
      <c r="B834" s="25"/>
      <c r="C834" s="4"/>
      <c r="D834" s="5"/>
      <c r="E834" s="5"/>
      <c r="F834" s="5"/>
      <c r="G834" s="5"/>
      <c r="H834" s="5"/>
    </row>
    <row r="835" spans="2:8" x14ac:dyDescent="0.35">
      <c r="B835" s="25"/>
      <c r="C835" s="4"/>
      <c r="D835" s="5"/>
      <c r="E835" s="5"/>
      <c r="F835" s="5"/>
      <c r="G835" s="5"/>
      <c r="H835" s="5"/>
    </row>
    <row r="836" spans="2:8" x14ac:dyDescent="0.35">
      <c r="B836" s="25"/>
      <c r="C836" s="4"/>
      <c r="D836" s="5"/>
      <c r="E836" s="5"/>
      <c r="F836" s="5"/>
      <c r="G836" s="5"/>
      <c r="H836" s="5"/>
    </row>
    <row r="837" spans="2:8" x14ac:dyDescent="0.35">
      <c r="B837" s="25"/>
      <c r="C837" s="4"/>
      <c r="D837" s="5"/>
      <c r="E837" s="5"/>
      <c r="F837" s="5"/>
      <c r="G837" s="5"/>
      <c r="H837" s="5"/>
    </row>
    <row r="838" spans="2:8" x14ac:dyDescent="0.35">
      <c r="B838" s="25"/>
      <c r="C838" s="4"/>
      <c r="D838" s="5"/>
      <c r="E838" s="5"/>
      <c r="F838" s="5"/>
      <c r="G838" s="5"/>
      <c r="H838" s="5"/>
    </row>
    <row r="839" spans="2:8" x14ac:dyDescent="0.35">
      <c r="B839" s="25"/>
      <c r="C839" s="4"/>
      <c r="D839" s="5"/>
      <c r="E839" s="5"/>
      <c r="F839" s="5"/>
      <c r="G839" s="5"/>
      <c r="H839" s="5"/>
    </row>
    <row r="840" spans="2:8" x14ac:dyDescent="0.35">
      <c r="B840" s="25"/>
      <c r="C840" s="4"/>
      <c r="D840" s="5"/>
      <c r="E840" s="5"/>
      <c r="F840" s="5"/>
      <c r="G840" s="5"/>
      <c r="H840" s="5"/>
    </row>
    <row r="841" spans="2:8" x14ac:dyDescent="0.35">
      <c r="B841" s="25"/>
      <c r="C841" s="4"/>
      <c r="D841" s="5"/>
      <c r="E841" s="5"/>
      <c r="F841" s="5"/>
      <c r="G841" s="5"/>
      <c r="H841" s="5"/>
    </row>
    <row r="842" spans="2:8" x14ac:dyDescent="0.35">
      <c r="B842" s="25"/>
      <c r="C842" s="4"/>
      <c r="D842" s="5"/>
      <c r="E842" s="5"/>
      <c r="F842" s="5"/>
      <c r="G842" s="5"/>
      <c r="H842" s="5"/>
    </row>
    <row r="843" spans="2:8" x14ac:dyDescent="0.35">
      <c r="B843" s="25"/>
      <c r="C843" s="4"/>
      <c r="D843" s="5"/>
      <c r="E843" s="5"/>
      <c r="F843" s="5"/>
      <c r="G843" s="5"/>
      <c r="H843" s="5"/>
    </row>
    <row r="844" spans="2:8" x14ac:dyDescent="0.35">
      <c r="B844" s="25"/>
      <c r="C844" s="4"/>
      <c r="D844" s="5"/>
      <c r="E844" s="5"/>
      <c r="F844" s="5"/>
      <c r="G844" s="5"/>
      <c r="H844" s="5"/>
    </row>
    <row r="845" spans="2:8" x14ac:dyDescent="0.35">
      <c r="B845" s="25"/>
      <c r="C845" s="4"/>
      <c r="D845" s="5"/>
      <c r="E845" s="5"/>
      <c r="F845" s="5"/>
      <c r="G845" s="5"/>
      <c r="H845" s="5"/>
    </row>
    <row r="846" spans="2:8" x14ac:dyDescent="0.35">
      <c r="B846" s="25"/>
      <c r="C846" s="4"/>
      <c r="D846" s="5"/>
      <c r="E846" s="5"/>
      <c r="F846" s="5"/>
      <c r="G846" s="5"/>
      <c r="H846" s="5"/>
    </row>
    <row r="847" spans="2:8" x14ac:dyDescent="0.35">
      <c r="B847" s="25"/>
      <c r="C847" s="4"/>
      <c r="D847" s="5"/>
      <c r="E847" s="5"/>
      <c r="F847" s="5"/>
      <c r="G847" s="5"/>
      <c r="H847" s="5"/>
    </row>
    <row r="848" spans="2:8" x14ac:dyDescent="0.35">
      <c r="B848" s="25"/>
      <c r="C848" s="4"/>
      <c r="D848" s="5"/>
      <c r="E848" s="5"/>
      <c r="F848" s="5"/>
      <c r="G848" s="5"/>
      <c r="H848" s="5"/>
    </row>
    <row r="849" spans="2:8" x14ac:dyDescent="0.35">
      <c r="B849" s="25"/>
      <c r="C849" s="4"/>
      <c r="D849" s="5"/>
      <c r="E849" s="5"/>
      <c r="F849" s="5"/>
      <c r="G849" s="5"/>
      <c r="H849" s="5"/>
    </row>
    <row r="850" spans="2:8" x14ac:dyDescent="0.35">
      <c r="B850" s="25"/>
      <c r="C850" s="4"/>
      <c r="D850" s="5"/>
      <c r="E850" s="5"/>
      <c r="F850" s="5"/>
      <c r="G850" s="5"/>
      <c r="H850" s="5"/>
    </row>
    <row r="851" spans="2:8" x14ac:dyDescent="0.35">
      <c r="B851" s="25"/>
      <c r="C851" s="4"/>
      <c r="D851" s="5"/>
      <c r="E851" s="5"/>
      <c r="F851" s="5"/>
      <c r="G851" s="5"/>
      <c r="H851" s="5"/>
    </row>
    <row r="852" spans="2:8" x14ac:dyDescent="0.35">
      <c r="B852" s="25"/>
      <c r="C852" s="4"/>
      <c r="D852" s="5"/>
      <c r="E852" s="5"/>
      <c r="F852" s="5"/>
      <c r="G852" s="5"/>
      <c r="H852" s="5"/>
    </row>
    <row r="853" spans="2:8" x14ac:dyDescent="0.35">
      <c r="B853" s="25"/>
      <c r="C853" s="4"/>
      <c r="D853" s="5"/>
      <c r="E853" s="5"/>
      <c r="F853" s="5"/>
      <c r="G853" s="5"/>
      <c r="H853" s="5"/>
    </row>
    <row r="854" spans="2:8" x14ac:dyDescent="0.35">
      <c r="B854" s="25"/>
      <c r="C854" s="4"/>
      <c r="D854" s="5"/>
      <c r="E854" s="5"/>
      <c r="F854" s="5"/>
      <c r="G854" s="5"/>
      <c r="H854" s="5"/>
    </row>
    <row r="855" spans="2:8" x14ac:dyDescent="0.35">
      <c r="B855" s="25"/>
      <c r="C855" s="4"/>
      <c r="D855" s="5"/>
      <c r="E855" s="5"/>
      <c r="F855" s="5"/>
      <c r="G855" s="5"/>
      <c r="H855" s="5"/>
    </row>
    <row r="856" spans="2:8" x14ac:dyDescent="0.35">
      <c r="B856" s="25"/>
      <c r="C856" s="4"/>
      <c r="D856" s="5"/>
      <c r="E856" s="5"/>
      <c r="F856" s="5"/>
      <c r="G856" s="5"/>
      <c r="H856" s="5"/>
    </row>
    <row r="857" spans="2:8" x14ac:dyDescent="0.35">
      <c r="B857" s="25"/>
      <c r="C857" s="4"/>
      <c r="D857" s="5"/>
      <c r="E857" s="5"/>
      <c r="F857" s="5"/>
      <c r="G857" s="5"/>
      <c r="H857" s="5"/>
    </row>
    <row r="858" spans="2:8" x14ac:dyDescent="0.35">
      <c r="B858" s="25"/>
      <c r="C858" s="4"/>
      <c r="D858" s="5"/>
      <c r="E858" s="5"/>
      <c r="F858" s="5"/>
      <c r="G858" s="5"/>
      <c r="H858" s="5"/>
    </row>
    <row r="859" spans="2:8" x14ac:dyDescent="0.35">
      <c r="B859" s="25"/>
      <c r="C859" s="4"/>
      <c r="D859" s="5"/>
      <c r="E859" s="5"/>
      <c r="F859" s="5"/>
      <c r="G859" s="5"/>
      <c r="H859" s="5"/>
    </row>
    <row r="860" spans="2:8" x14ac:dyDescent="0.35">
      <c r="B860" s="25"/>
      <c r="C860" s="4"/>
      <c r="D860" s="5"/>
      <c r="E860" s="5"/>
      <c r="F860" s="5"/>
      <c r="G860" s="5"/>
      <c r="H860" s="5"/>
    </row>
    <row r="861" spans="2:8" x14ac:dyDescent="0.35">
      <c r="B861" s="25"/>
      <c r="C861" s="4"/>
      <c r="D861" s="5"/>
      <c r="E861" s="5"/>
      <c r="F861" s="5"/>
      <c r="G861" s="5"/>
      <c r="H861" s="5"/>
    </row>
    <row r="862" spans="2:8" x14ac:dyDescent="0.35">
      <c r="B862" s="25"/>
      <c r="C862" s="4"/>
      <c r="D862" s="5"/>
      <c r="E862" s="5"/>
      <c r="F862" s="5"/>
      <c r="G862" s="5"/>
      <c r="H862" s="5"/>
    </row>
    <row r="863" spans="2:8" x14ac:dyDescent="0.35">
      <c r="B863" s="25"/>
      <c r="C863" s="4"/>
      <c r="D863" s="5"/>
      <c r="E863" s="5"/>
      <c r="F863" s="5"/>
      <c r="G863" s="5"/>
      <c r="H863" s="5"/>
    </row>
    <row r="864" spans="2:8" x14ac:dyDescent="0.35">
      <c r="B864" s="25"/>
      <c r="C864" s="4"/>
      <c r="D864" s="5"/>
      <c r="E864" s="5"/>
      <c r="F864" s="5"/>
      <c r="G864" s="5"/>
      <c r="H864" s="5"/>
    </row>
    <row r="865" spans="2:8" x14ac:dyDescent="0.35">
      <c r="B865" s="25"/>
      <c r="C865" s="4"/>
      <c r="D865" s="5"/>
      <c r="E865" s="5"/>
      <c r="F865" s="5"/>
      <c r="G865" s="5"/>
      <c r="H865" s="5"/>
    </row>
    <row r="866" spans="2:8" x14ac:dyDescent="0.35">
      <c r="B866" s="25"/>
      <c r="C866" s="4"/>
      <c r="D866" s="5"/>
      <c r="E866" s="5"/>
      <c r="F866" s="5"/>
      <c r="G866" s="5"/>
      <c r="H866" s="5"/>
    </row>
    <row r="867" spans="2:8" x14ac:dyDescent="0.35">
      <c r="B867" s="25"/>
      <c r="C867" s="4"/>
      <c r="D867" s="5"/>
      <c r="E867" s="5"/>
      <c r="F867" s="5"/>
      <c r="G867" s="5"/>
      <c r="H867" s="5"/>
    </row>
    <row r="868" spans="2:8" x14ac:dyDescent="0.35">
      <c r="B868" s="25"/>
      <c r="C868" s="4"/>
      <c r="D868" s="5"/>
      <c r="E868" s="5"/>
      <c r="F868" s="5"/>
      <c r="G868" s="5"/>
      <c r="H868" s="5"/>
    </row>
    <row r="869" spans="2:8" x14ac:dyDescent="0.35">
      <c r="B869" s="25"/>
      <c r="C869" s="4"/>
      <c r="D869" s="5"/>
      <c r="E869" s="5"/>
      <c r="F869" s="5"/>
      <c r="G869" s="5"/>
      <c r="H869" s="5"/>
    </row>
    <row r="870" spans="2:8" x14ac:dyDescent="0.35">
      <c r="B870" s="25"/>
      <c r="C870" s="4"/>
      <c r="D870" s="5"/>
      <c r="E870" s="5"/>
      <c r="F870" s="5"/>
      <c r="G870" s="5"/>
      <c r="H870" s="5"/>
    </row>
    <row r="871" spans="2:8" x14ac:dyDescent="0.35">
      <c r="B871" s="25"/>
      <c r="C871" s="4"/>
      <c r="D871" s="5"/>
      <c r="E871" s="5"/>
      <c r="F871" s="5"/>
      <c r="G871" s="5"/>
      <c r="H871" s="5"/>
    </row>
    <row r="872" spans="2:8" x14ac:dyDescent="0.35">
      <c r="B872" s="25"/>
      <c r="C872" s="4"/>
      <c r="D872" s="5"/>
      <c r="E872" s="5"/>
      <c r="F872" s="5"/>
      <c r="G872" s="5"/>
      <c r="H872" s="5"/>
    </row>
    <row r="873" spans="2:8" x14ac:dyDescent="0.35">
      <c r="B873" s="25"/>
      <c r="C873" s="4"/>
      <c r="D873" s="5"/>
      <c r="E873" s="5"/>
      <c r="F873" s="5"/>
      <c r="G873" s="5"/>
      <c r="H873" s="5"/>
    </row>
    <row r="874" spans="2:8" x14ac:dyDescent="0.35">
      <c r="B874" s="25"/>
      <c r="C874" s="4"/>
      <c r="D874" s="5"/>
      <c r="E874" s="5"/>
      <c r="F874" s="5"/>
      <c r="G874" s="5"/>
      <c r="H874" s="5"/>
    </row>
    <row r="875" spans="2:8" x14ac:dyDescent="0.35">
      <c r="B875" s="25"/>
      <c r="C875" s="4"/>
      <c r="D875" s="5"/>
      <c r="E875" s="5"/>
      <c r="F875" s="5"/>
      <c r="G875" s="5"/>
      <c r="H875" s="5"/>
    </row>
    <row r="876" spans="2:8" x14ac:dyDescent="0.35">
      <c r="B876" s="25"/>
      <c r="C876" s="4"/>
      <c r="D876" s="5"/>
      <c r="E876" s="5"/>
      <c r="F876" s="5"/>
      <c r="G876" s="5"/>
      <c r="H876" s="5"/>
    </row>
    <row r="877" spans="2:8" x14ac:dyDescent="0.35">
      <c r="B877" s="25"/>
      <c r="C877" s="4"/>
      <c r="D877" s="5"/>
      <c r="E877" s="5"/>
      <c r="F877" s="5"/>
      <c r="G877" s="5"/>
      <c r="H877" s="5"/>
    </row>
    <row r="878" spans="2:8" x14ac:dyDescent="0.35">
      <c r="B878" s="25"/>
      <c r="C878" s="4"/>
      <c r="D878" s="5"/>
      <c r="E878" s="5"/>
      <c r="F878" s="5"/>
      <c r="G878" s="5"/>
      <c r="H878" s="5"/>
    </row>
    <row r="879" spans="2:8" x14ac:dyDescent="0.35">
      <c r="B879" s="25"/>
      <c r="C879" s="4"/>
      <c r="D879" s="5"/>
      <c r="E879" s="5"/>
      <c r="F879" s="5"/>
      <c r="G879" s="5"/>
      <c r="H879" s="5"/>
    </row>
    <row r="880" spans="2:8" x14ac:dyDescent="0.35">
      <c r="B880" s="25"/>
      <c r="C880" s="4"/>
      <c r="D880" s="5"/>
      <c r="E880" s="5"/>
      <c r="F880" s="5"/>
      <c r="G880" s="5"/>
      <c r="H880" s="5"/>
    </row>
    <row r="881" spans="2:8" x14ac:dyDescent="0.35">
      <c r="B881" s="25"/>
      <c r="C881" s="4"/>
      <c r="D881" s="5"/>
      <c r="E881" s="5"/>
      <c r="F881" s="5"/>
      <c r="G881" s="5"/>
      <c r="H881" s="5"/>
    </row>
    <row r="882" spans="2:8" x14ac:dyDescent="0.35">
      <c r="B882" s="25"/>
      <c r="C882" s="4"/>
      <c r="D882" s="5"/>
      <c r="E882" s="5"/>
      <c r="F882" s="5"/>
      <c r="G882" s="5"/>
      <c r="H882" s="5"/>
    </row>
    <row r="883" spans="2:8" x14ac:dyDescent="0.35">
      <c r="B883" s="25"/>
      <c r="C883" s="4"/>
      <c r="D883" s="5"/>
      <c r="E883" s="5"/>
      <c r="F883" s="5"/>
      <c r="G883" s="5"/>
      <c r="H883" s="5"/>
    </row>
    <row r="884" spans="2:8" x14ac:dyDescent="0.35">
      <c r="B884" s="25"/>
      <c r="C884" s="4"/>
      <c r="D884" s="5"/>
      <c r="E884" s="5"/>
      <c r="F884" s="5"/>
      <c r="G884" s="5"/>
      <c r="H884" s="5"/>
    </row>
    <row r="885" spans="2:8" x14ac:dyDescent="0.35">
      <c r="B885" s="25"/>
      <c r="C885" s="4"/>
      <c r="D885" s="5"/>
      <c r="E885" s="5"/>
      <c r="F885" s="5"/>
      <c r="G885" s="5"/>
      <c r="H885" s="5"/>
    </row>
    <row r="886" spans="2:8" x14ac:dyDescent="0.35">
      <c r="B886" s="25"/>
      <c r="C886" s="4"/>
      <c r="D886" s="5"/>
      <c r="E886" s="5"/>
      <c r="F886" s="5"/>
      <c r="G886" s="5"/>
      <c r="H886" s="5"/>
    </row>
    <row r="887" spans="2:8" x14ac:dyDescent="0.35">
      <c r="B887" s="25"/>
      <c r="C887" s="4"/>
      <c r="D887" s="5"/>
      <c r="E887" s="5"/>
      <c r="F887" s="5"/>
      <c r="G887" s="5"/>
      <c r="H887" s="5"/>
    </row>
    <row r="888" spans="2:8" x14ac:dyDescent="0.35">
      <c r="B888" s="25"/>
      <c r="C888" s="4"/>
      <c r="D888" s="5"/>
      <c r="E888" s="5"/>
      <c r="F888" s="5"/>
      <c r="G888" s="5"/>
      <c r="H888" s="5"/>
    </row>
    <row r="889" spans="2:8" x14ac:dyDescent="0.35">
      <c r="B889" s="25"/>
      <c r="C889" s="4"/>
      <c r="D889" s="5"/>
      <c r="E889" s="5"/>
      <c r="F889" s="5"/>
      <c r="G889" s="5"/>
      <c r="H889" s="5"/>
    </row>
    <row r="890" spans="2:8" x14ac:dyDescent="0.35">
      <c r="B890" s="25"/>
      <c r="C890" s="4"/>
      <c r="D890" s="5"/>
      <c r="E890" s="5"/>
      <c r="F890" s="5"/>
      <c r="G890" s="5"/>
      <c r="H890" s="5"/>
    </row>
    <row r="891" spans="2:8" x14ac:dyDescent="0.35">
      <c r="B891" s="25"/>
      <c r="C891" s="4"/>
      <c r="D891" s="5"/>
      <c r="E891" s="5"/>
      <c r="F891" s="5"/>
      <c r="G891" s="5"/>
      <c r="H891" s="5"/>
    </row>
    <row r="892" spans="2:8" x14ac:dyDescent="0.35">
      <c r="B892" s="25"/>
      <c r="C892" s="4"/>
      <c r="D892" s="5"/>
      <c r="E892" s="5"/>
      <c r="F892" s="5"/>
      <c r="G892" s="5"/>
      <c r="H892" s="5"/>
    </row>
    <row r="893" spans="2:8" x14ac:dyDescent="0.35">
      <c r="B893" s="25"/>
      <c r="C893" s="4"/>
      <c r="D893" s="5"/>
      <c r="E893" s="5"/>
      <c r="F893" s="5"/>
      <c r="G893" s="5"/>
      <c r="H893" s="5"/>
    </row>
    <row r="894" spans="2:8" x14ac:dyDescent="0.35">
      <c r="B894" s="25"/>
      <c r="C894" s="4"/>
      <c r="D894" s="5"/>
      <c r="E894" s="5"/>
      <c r="F894" s="5"/>
      <c r="G894" s="5"/>
      <c r="H894" s="5"/>
    </row>
    <row r="895" spans="2:8" x14ac:dyDescent="0.35">
      <c r="B895" s="25"/>
      <c r="C895" s="4"/>
      <c r="D895" s="5"/>
      <c r="E895" s="5"/>
      <c r="F895" s="5"/>
      <c r="G895" s="5"/>
      <c r="H895" s="5"/>
    </row>
    <row r="896" spans="2:8" x14ac:dyDescent="0.35">
      <c r="B896" s="25"/>
      <c r="C896" s="4"/>
      <c r="D896" s="5"/>
      <c r="E896" s="5"/>
      <c r="F896" s="5"/>
      <c r="G896" s="5"/>
      <c r="H896" s="5"/>
    </row>
    <row r="897" spans="2:8" x14ac:dyDescent="0.35">
      <c r="B897" s="25"/>
      <c r="C897" s="4"/>
      <c r="D897" s="5"/>
      <c r="E897" s="5"/>
      <c r="F897" s="5"/>
      <c r="G897" s="5"/>
      <c r="H897" s="5"/>
    </row>
  </sheetData>
  <sheetProtection algorithmName="SHA-512" hashValue="MFSc8EbjVLY1Iw7Q+bp828WLvDXCxznboReErE6mckU2jEbz1VohXwsmmqisSGzQGUL9Ro1v+n8oU7tzVrElHg==" saltValue="9CMeJfK/nTqtJjAtfRvT1w==" spinCount="100000" sheet="1" objects="1" scenarios="1"/>
  <dataConsolidate/>
  <dataValidations count="8">
    <dataValidation type="textLength" allowBlank="1" showInputMessage="1" showErrorMessage="1" errorTitle="Data Invalid" error="Data tidak boleh lebih dari 20 karakter !" sqref="G2">
      <formula1>0</formula1>
      <formula2>20</formula2>
    </dataValidation>
    <dataValidation type="whole" allowBlank="1" showInputMessage="1" showErrorMessage="1" errorTitle="Data Invalid" error="Data yang diisi harus berupa angka !_x000a_Data tidak boleh lebih dari 15 angka !" sqref="F2">
      <formula1>0</formula1>
      <formula2>999999999999999</formula2>
    </dataValidation>
    <dataValidation type="list" allowBlank="1" showInputMessage="1" showErrorMessage="1" error="Nama kota tidak terdaftar" sqref="B8:B65526">
      <formula1>KOTA</formula1>
    </dataValidation>
    <dataValidation type="list" allowBlank="1" showInputMessage="1" showErrorMessage="1" sqref="B6">
      <formula1>KOTA</formula1>
    </dataValidation>
    <dataValidation allowBlank="1" showInputMessage="1" showErrorMessage="1" errorTitle="Data Invalid" error="Data tidak valid" sqref="D2:E2"/>
    <dataValidation type="list" showInputMessage="1" showErrorMessage="1" errorTitle="Data Invalid" error="Data tidak valid" sqref="B2">
      <formula1>KOTA</formula1>
    </dataValidation>
    <dataValidation type="list" showInputMessage="1" showErrorMessage="1" errorTitle="Data Invalid" error="Data tidak valid" sqref="C2">
      <formula1>COUNTRY</formula1>
    </dataValidation>
    <dataValidation type="list" allowBlank="1" showInputMessage="1" showErrorMessage="1" errorTitle="Data Invalid" error="Data tidak boleh lebih dari 20 karakter !" sqref="H2">
      <formula1>TujuanTransaksi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CO2_Click">
                <anchor moveWithCells="1" sizeWithCells="1">
                  <from>
                    <xdr:col>7</xdr:col>
                    <xdr:colOff>184150</xdr:colOff>
                    <xdr:row>2</xdr:row>
                    <xdr:rowOff>50800</xdr:rowOff>
                  </from>
                  <to>
                    <xdr:col>7</xdr:col>
                    <xdr:colOff>1111250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681"/>
  <sheetViews>
    <sheetView topLeftCell="E1" zoomScaleNormal="100" workbookViewId="0">
      <selection activeCell="I6" sqref="I6"/>
    </sheetView>
  </sheetViews>
  <sheetFormatPr defaultRowHeight="14.5" x14ac:dyDescent="0.35"/>
  <cols>
    <col min="1" max="1" width="5.08984375" customWidth="1"/>
    <col min="2" max="2" width="23.54296875" bestFit="1" customWidth="1"/>
    <col min="3" max="3" width="29.08984375" customWidth="1"/>
    <col min="4" max="4" width="36.90625" customWidth="1"/>
    <col min="5" max="5" width="41.54296875" customWidth="1"/>
    <col min="6" max="6" width="26.54296875" bestFit="1" customWidth="1"/>
    <col min="7" max="7" width="37.453125" customWidth="1"/>
    <col min="8" max="8" width="125.90625" hidden="1" customWidth="1"/>
    <col min="9" max="9" width="14.90625" customWidth="1"/>
    <col min="10" max="11" width="14.36328125" customWidth="1"/>
    <col min="12" max="12" width="34.90625" customWidth="1"/>
    <col min="13" max="14" width="14.36328125" customWidth="1"/>
  </cols>
  <sheetData>
    <row r="1" spans="1:13" ht="21.75" customHeight="1" x14ac:dyDescent="0.35">
      <c r="C1" s="86"/>
      <c r="D1" s="86" t="s">
        <v>3924</v>
      </c>
      <c r="E1" s="86"/>
      <c r="F1" s="86"/>
      <c r="G1" s="86"/>
      <c r="H1" s="86"/>
    </row>
    <row r="2" spans="1:13" ht="14.25" hidden="1" customHeight="1" x14ac:dyDescent="0.35">
      <c r="A2" s="91">
        <f>ROW()-6</f>
        <v>-4</v>
      </c>
      <c r="B2" s="98"/>
      <c r="C2" s="98"/>
      <c r="D2" s="99"/>
      <c r="E2" s="99"/>
      <c r="F2" s="90"/>
      <c r="G2" s="100"/>
      <c r="H2" s="5" t="str">
        <f>LEFT(B2,2)&amp;LEFT(C2,4)&amp;LEFT(TRIM(D2)&amp;REPT(" ",50),50)&amp;LEFT(TRIM(E2)&amp;REPT(" ",50),50)&amp;RIGHT(REPT("0",12)&amp;F2,12)&amp;RIGHT(REPT("0",15)&amp;G2,15)</f>
        <v xml:space="preserve">                                                                                                    000000000000000000000000000</v>
      </c>
      <c r="I2" s="53" t="s">
        <v>984</v>
      </c>
      <c r="K2" s="64"/>
      <c r="M2" s="54"/>
    </row>
    <row r="3" spans="1:13" x14ac:dyDescent="0.35">
      <c r="B3" s="66" t="s">
        <v>0</v>
      </c>
      <c r="C3" s="76" t="str">
        <f>'LTDBB Header'!E3</f>
        <v>799999995</v>
      </c>
      <c r="J3" s="1" t="s">
        <v>975</v>
      </c>
      <c r="K3" s="1" t="s">
        <v>3932</v>
      </c>
      <c r="M3" t="str">
        <f>RIGHT(REPT("0",4)&amp;'LTDBB Header'!E5,4)&amp;RIGHT(REPT("0",2)&amp;'LTDBB Header'!F5,2)&amp;RIGHT(REPT("0",4)&amp;K3,4)</f>
        <v>2015010002</v>
      </c>
    </row>
    <row r="4" spans="1:13" x14ac:dyDescent="0.35">
      <c r="B4" s="66" t="s">
        <v>2326</v>
      </c>
      <c r="C4" s="70" t="s">
        <v>2322</v>
      </c>
      <c r="D4" s="70" t="s">
        <v>2323</v>
      </c>
      <c r="E4" s="70"/>
      <c r="J4" s="1" t="s">
        <v>3930</v>
      </c>
      <c r="K4">
        <f>COUNTA($A$8:$A$65536)</f>
        <v>0</v>
      </c>
      <c r="L4">
        <f>COUNTA($A$10:$A$65536)</f>
        <v>0</v>
      </c>
      <c r="M4" t="str">
        <f>RIGHT(REPT("0",9)&amp;'LTDBB Header'!E3,9)&amp;K5&amp;RIGHT(REPT("0",4)&amp;'LTDBB Header'!E5,4)&amp;RIGHT(REPT("0",2)&amp;'LTDBB Header'!F5,2)&amp;"01"&amp;K3&amp;RIGHT(REPT("0",9)&amp;K4,9)</f>
        <v>799999995M20150101G0002000000000</v>
      </c>
    </row>
    <row r="5" spans="1:13" ht="15" thickBot="1" x14ac:dyDescent="0.4">
      <c r="C5" s="69">
        <f>'LTDBB Header'!E5</f>
        <v>2015</v>
      </c>
      <c r="D5" s="88" t="str">
        <f>'LTDBB Header'!F5</f>
        <v>01</v>
      </c>
      <c r="E5" s="69"/>
      <c r="G5" s="85"/>
      <c r="J5" s="1" t="s">
        <v>976</v>
      </c>
      <c r="K5" s="1" t="s">
        <v>1</v>
      </c>
    </row>
    <row r="6" spans="1:13" ht="39" customHeight="1" x14ac:dyDescent="0.35">
      <c r="A6" s="89" t="s">
        <v>2</v>
      </c>
      <c r="B6" s="30" t="s">
        <v>3928</v>
      </c>
      <c r="C6" s="30" t="s">
        <v>3926</v>
      </c>
      <c r="D6" s="30" t="s">
        <v>3915</v>
      </c>
      <c r="E6" s="30" t="s">
        <v>3916</v>
      </c>
      <c r="F6" s="30" t="s">
        <v>3927</v>
      </c>
      <c r="G6" s="30" t="s">
        <v>3917</v>
      </c>
      <c r="H6" s="23"/>
      <c r="I6" s="97" t="s">
        <v>3936</v>
      </c>
      <c r="J6" s="23"/>
      <c r="K6" s="2"/>
    </row>
    <row r="7" spans="1:13" ht="14.25" customHeight="1" x14ac:dyDescent="0.35"/>
    <row r="8" spans="1:13" ht="14.25" customHeight="1" x14ac:dyDescent="0.35"/>
    <row r="9" spans="1:13" ht="14.25" customHeight="1" x14ac:dyDescent="0.35"/>
    <row r="10" spans="1:13" ht="14.25" customHeight="1" x14ac:dyDescent="0.35"/>
    <row r="11" spans="1:13" x14ac:dyDescent="0.35">
      <c r="B11" s="25"/>
      <c r="C11" s="4"/>
      <c r="D11" s="24"/>
      <c r="E11" s="24"/>
      <c r="F11" s="5"/>
      <c r="G11" s="5"/>
      <c r="H11" s="5"/>
    </row>
    <row r="12" spans="1:13" x14ac:dyDescent="0.35">
      <c r="B12" s="25"/>
      <c r="C12" s="4"/>
      <c r="D12" s="24"/>
      <c r="E12" s="24"/>
      <c r="F12" s="5"/>
      <c r="G12" s="5"/>
      <c r="H12" s="5"/>
    </row>
    <row r="13" spans="1:13" x14ac:dyDescent="0.35">
      <c r="B13" s="25"/>
      <c r="C13" s="4"/>
      <c r="D13" s="24"/>
      <c r="E13" s="24"/>
      <c r="F13" s="5"/>
      <c r="G13" s="5"/>
      <c r="H13" s="5"/>
    </row>
    <row r="14" spans="1:13" x14ac:dyDescent="0.35">
      <c r="B14" s="25"/>
      <c r="C14" s="4"/>
      <c r="D14" s="24"/>
      <c r="E14" s="24"/>
      <c r="F14" s="5"/>
      <c r="G14" s="5"/>
      <c r="H14" s="5"/>
    </row>
    <row r="15" spans="1:13" x14ac:dyDescent="0.35">
      <c r="B15" s="25"/>
      <c r="C15" s="4"/>
      <c r="D15" s="24"/>
      <c r="E15" s="24"/>
      <c r="F15" s="5"/>
      <c r="G15" s="5"/>
      <c r="H15" s="5"/>
    </row>
    <row r="16" spans="1:13" x14ac:dyDescent="0.35">
      <c r="B16" s="25"/>
      <c r="C16" s="4"/>
      <c r="D16" s="24"/>
      <c r="E16" s="24"/>
      <c r="F16" s="5"/>
      <c r="G16" s="5"/>
      <c r="H16" s="5"/>
    </row>
    <row r="17" spans="2:8" x14ac:dyDescent="0.35">
      <c r="B17" s="25"/>
      <c r="C17" s="4"/>
      <c r="D17" s="24"/>
      <c r="E17" s="24"/>
      <c r="F17" s="5"/>
      <c r="G17" s="5"/>
      <c r="H17" s="5"/>
    </row>
    <row r="18" spans="2:8" x14ac:dyDescent="0.35">
      <c r="B18" s="25"/>
      <c r="C18" s="4"/>
      <c r="D18" s="24"/>
      <c r="E18" s="24"/>
      <c r="F18" s="5"/>
      <c r="G18" s="5"/>
      <c r="H18" s="5"/>
    </row>
    <row r="19" spans="2:8" x14ac:dyDescent="0.35">
      <c r="B19" s="25"/>
      <c r="C19" s="4"/>
      <c r="D19" s="24"/>
      <c r="E19" s="24"/>
      <c r="F19" s="5"/>
      <c r="G19" s="5"/>
      <c r="H19" s="5"/>
    </row>
    <row r="20" spans="2:8" x14ac:dyDescent="0.35">
      <c r="B20" s="25"/>
      <c r="C20" s="4"/>
      <c r="D20" s="24"/>
      <c r="E20" s="24"/>
      <c r="F20" s="5"/>
      <c r="G20" s="5"/>
      <c r="H20" s="5"/>
    </row>
    <row r="21" spans="2:8" x14ac:dyDescent="0.35">
      <c r="B21" s="25"/>
      <c r="C21" s="4"/>
      <c r="D21" s="24"/>
      <c r="E21" s="24"/>
      <c r="F21" s="5"/>
      <c r="G21" s="5"/>
      <c r="H21" s="5"/>
    </row>
    <row r="22" spans="2:8" x14ac:dyDescent="0.35">
      <c r="B22" s="25"/>
      <c r="C22" s="4"/>
      <c r="D22" s="24"/>
      <c r="E22" s="24"/>
      <c r="F22" s="5"/>
      <c r="G22" s="5"/>
      <c r="H22" s="5"/>
    </row>
    <row r="23" spans="2:8" x14ac:dyDescent="0.35">
      <c r="B23" s="25"/>
      <c r="C23" s="4"/>
      <c r="D23" s="24"/>
      <c r="E23" s="24"/>
      <c r="F23" s="5"/>
      <c r="G23" s="5"/>
      <c r="H23" s="5"/>
    </row>
    <row r="24" spans="2:8" x14ac:dyDescent="0.35">
      <c r="B24" s="25"/>
      <c r="C24" s="4"/>
      <c r="D24" s="24"/>
      <c r="E24" s="24"/>
      <c r="F24" s="5"/>
      <c r="G24" s="5"/>
      <c r="H24" s="5"/>
    </row>
    <row r="25" spans="2:8" x14ac:dyDescent="0.35">
      <c r="B25" s="25"/>
      <c r="C25" s="4"/>
      <c r="D25" s="24"/>
      <c r="E25" s="24"/>
      <c r="F25" s="5"/>
      <c r="G25" s="5"/>
      <c r="H25" s="5"/>
    </row>
    <row r="26" spans="2:8" x14ac:dyDescent="0.35">
      <c r="B26" s="25"/>
      <c r="C26" s="4"/>
      <c r="D26" s="24"/>
      <c r="E26" s="24"/>
      <c r="F26" s="5"/>
      <c r="G26" s="5"/>
      <c r="H26" s="5"/>
    </row>
    <row r="27" spans="2:8" x14ac:dyDescent="0.35">
      <c r="B27" s="25"/>
      <c r="C27" s="4"/>
      <c r="D27" s="24"/>
      <c r="E27" s="24"/>
      <c r="F27" s="5"/>
      <c r="G27" s="5"/>
      <c r="H27" s="5"/>
    </row>
    <row r="28" spans="2:8" x14ac:dyDescent="0.35">
      <c r="B28" s="25"/>
      <c r="C28" s="4"/>
      <c r="D28" s="24"/>
      <c r="E28" s="24"/>
      <c r="F28" s="5"/>
      <c r="G28" s="5"/>
      <c r="H28" s="5"/>
    </row>
    <row r="29" spans="2:8" x14ac:dyDescent="0.35">
      <c r="B29" s="25"/>
      <c r="C29" s="4"/>
      <c r="D29" s="24"/>
      <c r="E29" s="24"/>
      <c r="F29" s="5"/>
      <c r="G29" s="5"/>
      <c r="H29" s="5"/>
    </row>
    <row r="30" spans="2:8" x14ac:dyDescent="0.35">
      <c r="B30" s="25"/>
      <c r="C30" s="4"/>
      <c r="D30" s="24"/>
      <c r="E30" s="24"/>
      <c r="F30" s="5"/>
      <c r="G30" s="5"/>
      <c r="H30" s="5"/>
    </row>
    <row r="31" spans="2:8" x14ac:dyDescent="0.35">
      <c r="B31" s="25"/>
      <c r="C31" s="4"/>
      <c r="D31" s="24"/>
      <c r="E31" s="24"/>
      <c r="F31" s="5"/>
      <c r="G31" s="5"/>
      <c r="H31" s="5"/>
    </row>
    <row r="32" spans="2:8" x14ac:dyDescent="0.35">
      <c r="B32" s="25"/>
      <c r="C32" s="4"/>
      <c r="D32" s="24"/>
      <c r="E32" s="24"/>
      <c r="F32" s="5"/>
      <c r="G32" s="5"/>
      <c r="H32" s="5"/>
    </row>
    <row r="33" spans="2:8" x14ac:dyDescent="0.35">
      <c r="B33" s="25"/>
      <c r="C33" s="4"/>
      <c r="D33" s="24"/>
      <c r="E33" s="24"/>
      <c r="F33" s="5"/>
      <c r="G33" s="5"/>
      <c r="H33" s="5"/>
    </row>
    <row r="34" spans="2:8" x14ac:dyDescent="0.35">
      <c r="B34" s="25"/>
      <c r="C34" s="4"/>
      <c r="D34" s="24"/>
      <c r="E34" s="24"/>
      <c r="F34" s="5"/>
      <c r="G34" s="5"/>
      <c r="H34" s="5"/>
    </row>
    <row r="35" spans="2:8" x14ac:dyDescent="0.35">
      <c r="B35" s="25"/>
      <c r="C35" s="4"/>
      <c r="D35" s="24"/>
      <c r="E35" s="24"/>
      <c r="F35" s="5"/>
      <c r="G35" s="5"/>
      <c r="H35" s="5"/>
    </row>
    <row r="36" spans="2:8" x14ac:dyDescent="0.35">
      <c r="B36" s="25"/>
      <c r="C36" s="4"/>
      <c r="D36" s="24"/>
      <c r="E36" s="24"/>
      <c r="F36" s="5"/>
      <c r="G36" s="5"/>
      <c r="H36" s="5"/>
    </row>
    <row r="37" spans="2:8" x14ac:dyDescent="0.35">
      <c r="B37" s="25"/>
      <c r="C37" s="4"/>
      <c r="D37" s="24"/>
      <c r="E37" s="24"/>
      <c r="F37" s="5"/>
      <c r="G37" s="5"/>
      <c r="H37" s="5"/>
    </row>
    <row r="38" spans="2:8" x14ac:dyDescent="0.35">
      <c r="B38" s="25"/>
      <c r="C38" s="4"/>
      <c r="D38" s="24"/>
      <c r="E38" s="24"/>
      <c r="F38" s="5"/>
      <c r="G38" s="5"/>
      <c r="H38" s="5"/>
    </row>
    <row r="39" spans="2:8" x14ac:dyDescent="0.35">
      <c r="B39" s="25"/>
      <c r="C39" s="4"/>
      <c r="D39" s="24"/>
      <c r="E39" s="24"/>
      <c r="F39" s="5"/>
      <c r="G39" s="5"/>
      <c r="H39" s="5"/>
    </row>
    <row r="40" spans="2:8" x14ac:dyDescent="0.35">
      <c r="B40" s="25"/>
      <c r="C40" s="4"/>
      <c r="D40" s="24"/>
      <c r="E40" s="24"/>
      <c r="F40" s="5"/>
      <c r="G40" s="5"/>
      <c r="H40" s="5"/>
    </row>
    <row r="41" spans="2:8" x14ac:dyDescent="0.35">
      <c r="B41" s="25"/>
      <c r="C41" s="4"/>
      <c r="D41" s="24"/>
      <c r="E41" s="24"/>
      <c r="F41" s="5"/>
      <c r="G41" s="5"/>
      <c r="H41" s="5"/>
    </row>
    <row r="42" spans="2:8" x14ac:dyDescent="0.35">
      <c r="B42" s="25"/>
      <c r="C42" s="4"/>
      <c r="D42" s="24"/>
      <c r="E42" s="24"/>
      <c r="F42" s="5"/>
      <c r="G42" s="5"/>
      <c r="H42" s="5"/>
    </row>
    <row r="43" spans="2:8" x14ac:dyDescent="0.35">
      <c r="B43" s="25"/>
      <c r="C43" s="4"/>
      <c r="D43" s="24"/>
      <c r="E43" s="24"/>
      <c r="F43" s="5"/>
      <c r="G43" s="5"/>
      <c r="H43" s="5"/>
    </row>
    <row r="44" spans="2:8" x14ac:dyDescent="0.35">
      <c r="B44" s="25"/>
      <c r="C44" s="4"/>
      <c r="D44" s="24"/>
      <c r="E44" s="24"/>
      <c r="F44" s="5"/>
      <c r="G44" s="5"/>
      <c r="H44" s="5"/>
    </row>
    <row r="45" spans="2:8" x14ac:dyDescent="0.35">
      <c r="B45" s="25"/>
      <c r="C45" s="4"/>
      <c r="D45" s="24"/>
      <c r="E45" s="24"/>
      <c r="F45" s="5"/>
      <c r="G45" s="5"/>
      <c r="H45" s="5"/>
    </row>
    <row r="46" spans="2:8" x14ac:dyDescent="0.35">
      <c r="B46" s="25"/>
      <c r="C46" s="4"/>
      <c r="D46" s="24"/>
      <c r="E46" s="24"/>
      <c r="F46" s="5"/>
      <c r="G46" s="5"/>
      <c r="H46" s="5"/>
    </row>
    <row r="47" spans="2:8" x14ac:dyDescent="0.35">
      <c r="B47" s="25"/>
      <c r="C47" s="4"/>
      <c r="D47" s="24"/>
      <c r="E47" s="24"/>
      <c r="F47" s="5"/>
      <c r="G47" s="5"/>
      <c r="H47" s="5"/>
    </row>
    <row r="48" spans="2:8" x14ac:dyDescent="0.35">
      <c r="B48" s="25"/>
      <c r="C48" s="4"/>
      <c r="D48" s="24"/>
      <c r="E48" s="24"/>
      <c r="F48" s="5"/>
      <c r="G48" s="5"/>
      <c r="H48" s="5"/>
    </row>
    <row r="49" spans="2:8" x14ac:dyDescent="0.35">
      <c r="B49" s="25"/>
      <c r="C49" s="4"/>
      <c r="D49" s="24"/>
      <c r="E49" s="24"/>
      <c r="F49" s="5"/>
      <c r="G49" s="5"/>
      <c r="H49" s="5"/>
    </row>
    <row r="50" spans="2:8" x14ac:dyDescent="0.35">
      <c r="B50" s="25"/>
      <c r="C50" s="4"/>
      <c r="D50" s="24"/>
      <c r="E50" s="24"/>
      <c r="F50" s="5"/>
      <c r="G50" s="5"/>
      <c r="H50" s="5"/>
    </row>
    <row r="51" spans="2:8" x14ac:dyDescent="0.35">
      <c r="B51" s="25"/>
      <c r="C51" s="4"/>
      <c r="D51" s="24"/>
      <c r="E51" s="24"/>
      <c r="F51" s="5"/>
      <c r="G51" s="5"/>
      <c r="H51" s="5"/>
    </row>
    <row r="52" spans="2:8" x14ac:dyDescent="0.35">
      <c r="B52" s="25"/>
      <c r="C52" s="4"/>
      <c r="D52" s="24"/>
      <c r="E52" s="24"/>
      <c r="F52" s="5"/>
      <c r="G52" s="5"/>
      <c r="H52" s="5"/>
    </row>
    <row r="53" spans="2:8" x14ac:dyDescent="0.35">
      <c r="B53" s="25"/>
      <c r="C53" s="4"/>
      <c r="D53" s="24"/>
      <c r="E53" s="24"/>
      <c r="F53" s="5"/>
      <c r="G53" s="5"/>
      <c r="H53" s="5"/>
    </row>
    <row r="54" spans="2:8" x14ac:dyDescent="0.35">
      <c r="B54" s="25"/>
      <c r="C54" s="4"/>
      <c r="D54" s="24"/>
      <c r="E54" s="24"/>
      <c r="F54" s="5"/>
      <c r="G54" s="5"/>
      <c r="H54" s="5"/>
    </row>
    <row r="55" spans="2:8" x14ac:dyDescent="0.35">
      <c r="B55" s="25"/>
      <c r="C55" s="4"/>
      <c r="D55" s="24"/>
      <c r="E55" s="24"/>
      <c r="F55" s="5"/>
      <c r="G55" s="5"/>
      <c r="H55" s="5"/>
    </row>
    <row r="56" spans="2:8" x14ac:dyDescent="0.35">
      <c r="B56" s="25"/>
      <c r="C56" s="4"/>
      <c r="D56" s="24"/>
      <c r="E56" s="24"/>
      <c r="F56" s="5"/>
      <c r="G56" s="5"/>
      <c r="H56" s="5"/>
    </row>
    <row r="57" spans="2:8" x14ac:dyDescent="0.35">
      <c r="B57" s="25"/>
      <c r="C57" s="4"/>
      <c r="D57" s="24"/>
      <c r="E57" s="24"/>
      <c r="F57" s="5"/>
      <c r="G57" s="5"/>
      <c r="H57" s="5"/>
    </row>
    <row r="58" spans="2:8" x14ac:dyDescent="0.35">
      <c r="B58" s="25"/>
      <c r="C58" s="4"/>
      <c r="D58" s="24"/>
      <c r="E58" s="24"/>
      <c r="F58" s="5"/>
      <c r="G58" s="5"/>
      <c r="H58" s="5"/>
    </row>
    <row r="59" spans="2:8" x14ac:dyDescent="0.35">
      <c r="B59" s="25"/>
      <c r="C59" s="4"/>
      <c r="D59" s="24"/>
      <c r="E59" s="24"/>
      <c r="F59" s="5"/>
      <c r="G59" s="5"/>
      <c r="H59" s="5"/>
    </row>
    <row r="60" spans="2:8" x14ac:dyDescent="0.35">
      <c r="B60" s="25"/>
      <c r="C60" s="4"/>
      <c r="D60" s="24"/>
      <c r="E60" s="24"/>
      <c r="F60" s="5"/>
      <c r="G60" s="5"/>
      <c r="H60" s="5"/>
    </row>
    <row r="61" spans="2:8" x14ac:dyDescent="0.35">
      <c r="B61" s="25"/>
      <c r="C61" s="4"/>
      <c r="D61" s="24"/>
      <c r="E61" s="24"/>
      <c r="F61" s="5"/>
      <c r="G61" s="5"/>
      <c r="H61" s="5"/>
    </row>
    <row r="62" spans="2:8" x14ac:dyDescent="0.35">
      <c r="B62" s="25"/>
      <c r="C62" s="4"/>
      <c r="D62" s="24"/>
      <c r="E62" s="24"/>
      <c r="F62" s="5"/>
      <c r="G62" s="5"/>
      <c r="H62" s="5"/>
    </row>
    <row r="63" spans="2:8" x14ac:dyDescent="0.35">
      <c r="B63" s="25"/>
      <c r="C63" s="4"/>
      <c r="D63" s="24"/>
      <c r="E63" s="24"/>
      <c r="F63" s="5"/>
      <c r="G63" s="5"/>
      <c r="H63" s="5"/>
    </row>
    <row r="64" spans="2:8" x14ac:dyDescent="0.35">
      <c r="B64" s="25"/>
      <c r="C64" s="4"/>
      <c r="D64" s="24"/>
      <c r="E64" s="24"/>
      <c r="F64" s="5"/>
      <c r="G64" s="5"/>
      <c r="H64" s="5"/>
    </row>
    <row r="65" spans="2:8" x14ac:dyDescent="0.35">
      <c r="B65" s="25"/>
      <c r="C65" s="4"/>
      <c r="D65" s="24"/>
      <c r="E65" s="24"/>
      <c r="F65" s="5"/>
      <c r="G65" s="5"/>
      <c r="H65" s="5"/>
    </row>
    <row r="66" spans="2:8" x14ac:dyDescent="0.35">
      <c r="B66" s="25"/>
      <c r="C66" s="4"/>
      <c r="D66" s="24"/>
      <c r="E66" s="24"/>
      <c r="F66" s="5"/>
      <c r="G66" s="5"/>
      <c r="H66" s="5"/>
    </row>
    <row r="67" spans="2:8" x14ac:dyDescent="0.35">
      <c r="B67" s="25"/>
      <c r="C67" s="4"/>
      <c r="D67" s="24"/>
      <c r="E67" s="24"/>
      <c r="F67" s="5"/>
      <c r="G67" s="5"/>
      <c r="H67" s="5"/>
    </row>
    <row r="68" spans="2:8" x14ac:dyDescent="0.35">
      <c r="B68" s="25"/>
      <c r="C68" s="4"/>
      <c r="D68" s="24"/>
      <c r="E68" s="24"/>
      <c r="F68" s="5"/>
      <c r="G68" s="5"/>
      <c r="H68" s="5"/>
    </row>
    <row r="69" spans="2:8" x14ac:dyDescent="0.35">
      <c r="B69" s="25"/>
      <c r="C69" s="4"/>
      <c r="D69" s="24"/>
      <c r="E69" s="24"/>
      <c r="F69" s="5"/>
      <c r="G69" s="5"/>
      <c r="H69" s="5"/>
    </row>
    <row r="70" spans="2:8" x14ac:dyDescent="0.35">
      <c r="B70" s="25"/>
      <c r="C70" s="4"/>
      <c r="D70" s="24"/>
      <c r="E70" s="24"/>
      <c r="F70" s="5"/>
      <c r="G70" s="5"/>
      <c r="H70" s="5"/>
    </row>
    <row r="71" spans="2:8" x14ac:dyDescent="0.35">
      <c r="B71" s="25"/>
      <c r="C71" s="4"/>
      <c r="D71" s="24"/>
      <c r="E71" s="24"/>
      <c r="F71" s="5"/>
      <c r="G71" s="5"/>
      <c r="H71" s="5"/>
    </row>
    <row r="72" spans="2:8" x14ac:dyDescent="0.35">
      <c r="B72" s="25"/>
      <c r="C72" s="4"/>
      <c r="D72" s="24"/>
      <c r="E72" s="24"/>
      <c r="F72" s="5"/>
      <c r="G72" s="5"/>
      <c r="H72" s="5"/>
    </row>
    <row r="73" spans="2:8" x14ac:dyDescent="0.35">
      <c r="B73" s="25"/>
      <c r="C73" s="4"/>
      <c r="D73" s="24"/>
      <c r="E73" s="24"/>
      <c r="F73" s="5"/>
      <c r="G73" s="5"/>
      <c r="H73" s="5"/>
    </row>
    <row r="74" spans="2:8" x14ac:dyDescent="0.35">
      <c r="B74" s="25"/>
      <c r="C74" s="4"/>
      <c r="D74" s="24"/>
      <c r="E74" s="24"/>
      <c r="F74" s="5"/>
      <c r="G74" s="5"/>
      <c r="H74" s="5"/>
    </row>
    <row r="75" spans="2:8" x14ac:dyDescent="0.35">
      <c r="B75" s="25"/>
      <c r="C75" s="4"/>
      <c r="D75" s="24"/>
      <c r="E75" s="24"/>
      <c r="F75" s="5"/>
      <c r="G75" s="5"/>
      <c r="H75" s="5"/>
    </row>
    <row r="76" spans="2:8" x14ac:dyDescent="0.35">
      <c r="B76" s="25"/>
      <c r="C76" s="4"/>
      <c r="D76" s="24"/>
      <c r="E76" s="24"/>
      <c r="F76" s="5"/>
      <c r="G76" s="5"/>
      <c r="H76" s="5"/>
    </row>
    <row r="77" spans="2:8" x14ac:dyDescent="0.35">
      <c r="B77" s="25"/>
      <c r="C77" s="4"/>
      <c r="D77" s="24"/>
      <c r="E77" s="24"/>
      <c r="F77" s="5"/>
      <c r="G77" s="5"/>
      <c r="H77" s="5"/>
    </row>
    <row r="78" spans="2:8" x14ac:dyDescent="0.35">
      <c r="B78" s="25"/>
      <c r="C78" s="4"/>
      <c r="D78" s="24"/>
      <c r="E78" s="24"/>
      <c r="F78" s="5"/>
      <c r="G78" s="5"/>
      <c r="H78" s="5"/>
    </row>
    <row r="79" spans="2:8" x14ac:dyDescent="0.35">
      <c r="B79" s="25"/>
      <c r="C79" s="4"/>
      <c r="D79" s="24"/>
      <c r="E79" s="24"/>
      <c r="F79" s="5"/>
      <c r="G79" s="5"/>
      <c r="H79" s="5"/>
    </row>
    <row r="80" spans="2:8" x14ac:dyDescent="0.35">
      <c r="B80" s="25"/>
      <c r="C80" s="4"/>
      <c r="D80" s="24"/>
      <c r="E80" s="24"/>
      <c r="F80" s="5"/>
      <c r="G80" s="5"/>
      <c r="H80" s="5"/>
    </row>
    <row r="81" spans="2:8" x14ac:dyDescent="0.35">
      <c r="B81" s="25"/>
      <c r="C81" s="4"/>
      <c r="D81" s="24"/>
      <c r="E81" s="24"/>
      <c r="F81" s="5"/>
      <c r="G81" s="5"/>
      <c r="H81" s="5"/>
    </row>
    <row r="82" spans="2:8" x14ac:dyDescent="0.35">
      <c r="B82" s="25"/>
      <c r="C82" s="4"/>
      <c r="D82" s="24"/>
      <c r="E82" s="24"/>
      <c r="F82" s="5"/>
      <c r="G82" s="5"/>
      <c r="H82" s="5"/>
    </row>
    <row r="83" spans="2:8" x14ac:dyDescent="0.35">
      <c r="B83" s="25"/>
      <c r="C83" s="4"/>
      <c r="D83" s="24"/>
      <c r="E83" s="24"/>
      <c r="F83" s="5"/>
      <c r="G83" s="5"/>
      <c r="H83" s="5"/>
    </row>
    <row r="84" spans="2:8" x14ac:dyDescent="0.35">
      <c r="B84" s="25"/>
      <c r="C84" s="4"/>
      <c r="D84" s="24"/>
      <c r="E84" s="24"/>
      <c r="F84" s="5"/>
      <c r="G84" s="5"/>
      <c r="H84" s="5"/>
    </row>
    <row r="85" spans="2:8" x14ac:dyDescent="0.35">
      <c r="B85" s="25"/>
      <c r="C85" s="4"/>
      <c r="D85" s="24"/>
      <c r="E85" s="24"/>
      <c r="F85" s="5"/>
      <c r="G85" s="5"/>
      <c r="H85" s="5"/>
    </row>
    <row r="86" spans="2:8" x14ac:dyDescent="0.35">
      <c r="B86" s="25"/>
      <c r="C86" s="4"/>
      <c r="D86" s="24"/>
      <c r="E86" s="24"/>
      <c r="F86" s="5"/>
      <c r="G86" s="5"/>
      <c r="H86" s="5"/>
    </row>
    <row r="87" spans="2:8" x14ac:dyDescent="0.35">
      <c r="B87" s="25"/>
      <c r="C87" s="4"/>
      <c r="D87" s="24"/>
      <c r="E87" s="24"/>
      <c r="F87" s="5"/>
      <c r="G87" s="5"/>
      <c r="H87" s="5"/>
    </row>
    <row r="88" spans="2:8" x14ac:dyDescent="0.35">
      <c r="B88" s="25"/>
      <c r="C88" s="4"/>
      <c r="D88" s="24"/>
      <c r="E88" s="24"/>
      <c r="F88" s="5"/>
      <c r="G88" s="5"/>
      <c r="H88" s="5"/>
    </row>
    <row r="89" spans="2:8" x14ac:dyDescent="0.35">
      <c r="B89" s="25"/>
      <c r="C89" s="4"/>
      <c r="D89" s="24"/>
      <c r="E89" s="24"/>
      <c r="F89" s="5"/>
      <c r="G89" s="5"/>
      <c r="H89" s="5"/>
    </row>
    <row r="90" spans="2:8" x14ac:dyDescent="0.35">
      <c r="B90" s="25"/>
      <c r="C90" s="4"/>
      <c r="D90" s="24"/>
      <c r="E90" s="24"/>
      <c r="F90" s="5"/>
      <c r="G90" s="5"/>
      <c r="H90" s="5"/>
    </row>
    <row r="91" spans="2:8" x14ac:dyDescent="0.35">
      <c r="B91" s="25"/>
      <c r="C91" s="4"/>
      <c r="D91" s="24"/>
      <c r="E91" s="24"/>
      <c r="F91" s="5"/>
      <c r="G91" s="5"/>
      <c r="H91" s="5"/>
    </row>
    <row r="92" spans="2:8" x14ac:dyDescent="0.35">
      <c r="B92" s="25"/>
      <c r="C92" s="4"/>
      <c r="D92" s="24"/>
      <c r="E92" s="24"/>
      <c r="F92" s="5"/>
      <c r="G92" s="5"/>
      <c r="H92" s="5"/>
    </row>
    <row r="93" spans="2:8" x14ac:dyDescent="0.35">
      <c r="B93" s="25"/>
      <c r="C93" s="4"/>
      <c r="D93" s="24"/>
      <c r="E93" s="24"/>
      <c r="F93" s="5"/>
      <c r="G93" s="5"/>
      <c r="H93" s="5"/>
    </row>
    <row r="94" spans="2:8" x14ac:dyDescent="0.35">
      <c r="B94" s="25"/>
      <c r="C94" s="4"/>
      <c r="D94" s="24"/>
      <c r="E94" s="24"/>
      <c r="F94" s="5"/>
      <c r="G94" s="5"/>
      <c r="H94" s="5"/>
    </row>
    <row r="95" spans="2:8" x14ac:dyDescent="0.35">
      <c r="B95" s="25"/>
      <c r="C95" s="4"/>
      <c r="D95" s="24"/>
      <c r="E95" s="24"/>
      <c r="F95" s="5"/>
      <c r="G95" s="5"/>
      <c r="H95" s="5"/>
    </row>
    <row r="96" spans="2:8" x14ac:dyDescent="0.35">
      <c r="B96" s="25"/>
      <c r="C96" s="4"/>
      <c r="D96" s="24"/>
      <c r="E96" s="24"/>
      <c r="F96" s="5"/>
      <c r="G96" s="5"/>
      <c r="H96" s="5"/>
    </row>
    <row r="97" spans="2:8" x14ac:dyDescent="0.35">
      <c r="B97" s="25"/>
      <c r="C97" s="4"/>
      <c r="D97" s="24"/>
      <c r="E97" s="24"/>
      <c r="F97" s="5"/>
      <c r="G97" s="5"/>
      <c r="H97" s="5"/>
    </row>
    <row r="98" spans="2:8" x14ac:dyDescent="0.35">
      <c r="B98" s="25"/>
      <c r="C98" s="4"/>
      <c r="D98" s="24"/>
      <c r="E98" s="24"/>
      <c r="F98" s="5"/>
      <c r="G98" s="5"/>
      <c r="H98" s="5"/>
    </row>
    <row r="99" spans="2:8" x14ac:dyDescent="0.35">
      <c r="B99" s="25"/>
      <c r="C99" s="4"/>
      <c r="D99" s="24"/>
      <c r="E99" s="24"/>
      <c r="F99" s="5"/>
      <c r="G99" s="5"/>
      <c r="H99" s="5"/>
    </row>
    <row r="100" spans="2:8" x14ac:dyDescent="0.35">
      <c r="B100" s="25"/>
      <c r="C100" s="4"/>
      <c r="D100" s="24"/>
      <c r="E100" s="24"/>
      <c r="F100" s="5"/>
      <c r="G100" s="5"/>
      <c r="H100" s="5"/>
    </row>
    <row r="101" spans="2:8" x14ac:dyDescent="0.35">
      <c r="B101" s="25"/>
      <c r="C101" s="4"/>
      <c r="D101" s="24"/>
      <c r="E101" s="24"/>
      <c r="F101" s="5"/>
      <c r="G101" s="5"/>
      <c r="H101" s="5"/>
    </row>
    <row r="102" spans="2:8" x14ac:dyDescent="0.35">
      <c r="B102" s="25"/>
      <c r="C102" s="4"/>
      <c r="D102" s="24"/>
      <c r="E102" s="24"/>
      <c r="F102" s="5"/>
      <c r="G102" s="5"/>
      <c r="H102" s="5"/>
    </row>
    <row r="103" spans="2:8" x14ac:dyDescent="0.35">
      <c r="B103" s="25"/>
      <c r="C103" s="4"/>
      <c r="D103" s="24"/>
      <c r="E103" s="24"/>
      <c r="F103" s="5"/>
      <c r="G103" s="5"/>
      <c r="H103" s="5"/>
    </row>
    <row r="104" spans="2:8" x14ac:dyDescent="0.35">
      <c r="B104" s="25"/>
      <c r="C104" s="4"/>
      <c r="D104" s="24"/>
      <c r="E104" s="24"/>
      <c r="F104" s="5"/>
      <c r="G104" s="5"/>
      <c r="H104" s="5"/>
    </row>
    <row r="105" spans="2:8" x14ac:dyDescent="0.35">
      <c r="B105" s="25"/>
      <c r="C105" s="4"/>
      <c r="D105" s="24"/>
      <c r="E105" s="24"/>
      <c r="F105" s="5"/>
      <c r="G105" s="5"/>
      <c r="H105" s="5"/>
    </row>
    <row r="106" spans="2:8" x14ac:dyDescent="0.35">
      <c r="B106" s="25"/>
      <c r="C106" s="4"/>
      <c r="D106" s="24"/>
      <c r="E106" s="24"/>
      <c r="F106" s="5"/>
      <c r="G106" s="5"/>
      <c r="H106" s="5"/>
    </row>
    <row r="107" spans="2:8" x14ac:dyDescent="0.35">
      <c r="B107" s="25"/>
      <c r="C107" s="4"/>
      <c r="D107" s="24"/>
      <c r="E107" s="24"/>
      <c r="F107" s="5"/>
      <c r="G107" s="5"/>
      <c r="H107" s="5"/>
    </row>
    <row r="108" spans="2:8" x14ac:dyDescent="0.35">
      <c r="B108" s="25"/>
      <c r="C108" s="4"/>
      <c r="D108" s="24"/>
      <c r="E108" s="24"/>
      <c r="F108" s="5"/>
      <c r="G108" s="5"/>
      <c r="H108" s="5"/>
    </row>
    <row r="109" spans="2:8" x14ac:dyDescent="0.35">
      <c r="B109" s="25"/>
      <c r="C109" s="4"/>
      <c r="D109" s="24"/>
      <c r="E109" s="24"/>
      <c r="F109" s="5"/>
      <c r="G109" s="5"/>
      <c r="H109" s="5"/>
    </row>
    <row r="110" spans="2:8" x14ac:dyDescent="0.35">
      <c r="B110" s="25"/>
      <c r="C110" s="4"/>
      <c r="D110" s="24"/>
      <c r="E110" s="24"/>
      <c r="F110" s="5"/>
      <c r="G110" s="5"/>
      <c r="H110" s="5"/>
    </row>
    <row r="111" spans="2:8" x14ac:dyDescent="0.35">
      <c r="B111" s="25"/>
      <c r="C111" s="4"/>
      <c r="D111" s="24"/>
      <c r="E111" s="24"/>
      <c r="F111" s="5"/>
      <c r="G111" s="5"/>
      <c r="H111" s="5"/>
    </row>
    <row r="112" spans="2:8" x14ac:dyDescent="0.35">
      <c r="B112" s="25"/>
      <c r="C112" s="4"/>
      <c r="D112" s="24"/>
      <c r="E112" s="24"/>
      <c r="F112" s="5"/>
      <c r="G112" s="5"/>
      <c r="H112" s="5"/>
    </row>
    <row r="113" spans="2:8" x14ac:dyDescent="0.35">
      <c r="B113" s="25"/>
      <c r="C113" s="4"/>
      <c r="D113" s="24"/>
      <c r="E113" s="24"/>
      <c r="F113" s="5"/>
      <c r="G113" s="5"/>
      <c r="H113" s="5"/>
    </row>
    <row r="114" spans="2:8" x14ac:dyDescent="0.35">
      <c r="B114" s="25"/>
      <c r="C114" s="4"/>
      <c r="D114" s="24"/>
      <c r="E114" s="24"/>
      <c r="F114" s="5"/>
      <c r="G114" s="5"/>
      <c r="H114" s="5"/>
    </row>
    <row r="115" spans="2:8" x14ac:dyDescent="0.35">
      <c r="B115" s="25"/>
      <c r="C115" s="4"/>
      <c r="D115" s="24"/>
      <c r="E115" s="24"/>
      <c r="F115" s="5"/>
      <c r="G115" s="5"/>
      <c r="H115" s="5"/>
    </row>
    <row r="116" spans="2:8" x14ac:dyDescent="0.35">
      <c r="B116" s="25"/>
      <c r="C116" s="4"/>
      <c r="D116" s="24"/>
      <c r="E116" s="24"/>
      <c r="F116" s="5"/>
      <c r="G116" s="5"/>
      <c r="H116" s="5"/>
    </row>
    <row r="117" spans="2:8" x14ac:dyDescent="0.35">
      <c r="B117" s="25"/>
      <c r="C117" s="4"/>
      <c r="D117" s="24"/>
      <c r="E117" s="24"/>
      <c r="F117" s="5"/>
      <c r="G117" s="5"/>
      <c r="H117" s="5"/>
    </row>
    <row r="118" spans="2:8" x14ac:dyDescent="0.35">
      <c r="B118" s="25"/>
      <c r="C118" s="4"/>
      <c r="D118" s="24"/>
      <c r="E118" s="24"/>
      <c r="F118" s="5"/>
      <c r="G118" s="5"/>
      <c r="H118" s="5"/>
    </row>
    <row r="119" spans="2:8" x14ac:dyDescent="0.35">
      <c r="B119" s="25"/>
      <c r="C119" s="4"/>
      <c r="D119" s="24"/>
      <c r="E119" s="24"/>
      <c r="F119" s="5"/>
      <c r="G119" s="5"/>
      <c r="H119" s="5"/>
    </row>
    <row r="120" spans="2:8" x14ac:dyDescent="0.35">
      <c r="B120" s="25"/>
      <c r="C120" s="4"/>
      <c r="D120" s="24"/>
      <c r="E120" s="24"/>
      <c r="F120" s="5"/>
      <c r="G120" s="5"/>
      <c r="H120" s="5"/>
    </row>
    <row r="121" spans="2:8" x14ac:dyDescent="0.35">
      <c r="B121" s="25"/>
      <c r="C121" s="4"/>
      <c r="D121" s="24"/>
      <c r="E121" s="24"/>
      <c r="F121" s="5"/>
      <c r="G121" s="5"/>
      <c r="H121" s="5"/>
    </row>
    <row r="122" spans="2:8" x14ac:dyDescent="0.35">
      <c r="B122" s="25"/>
      <c r="C122" s="4"/>
      <c r="D122" s="24"/>
      <c r="E122" s="24"/>
      <c r="F122" s="5"/>
      <c r="G122" s="5"/>
      <c r="H122" s="5"/>
    </row>
    <row r="123" spans="2:8" x14ac:dyDescent="0.35">
      <c r="B123" s="25"/>
      <c r="C123" s="4"/>
      <c r="D123" s="24"/>
      <c r="E123" s="24"/>
      <c r="F123" s="5"/>
      <c r="G123" s="5"/>
      <c r="H123" s="5"/>
    </row>
    <row r="124" spans="2:8" x14ac:dyDescent="0.35">
      <c r="B124" s="25"/>
      <c r="C124" s="4"/>
      <c r="D124" s="24"/>
      <c r="E124" s="24"/>
      <c r="F124" s="5"/>
      <c r="G124" s="5"/>
      <c r="H124" s="5"/>
    </row>
    <row r="125" spans="2:8" x14ac:dyDescent="0.35">
      <c r="B125" s="25"/>
      <c r="C125" s="4"/>
      <c r="D125" s="24"/>
      <c r="E125" s="24"/>
      <c r="F125" s="5"/>
      <c r="G125" s="5"/>
      <c r="H125" s="5"/>
    </row>
    <row r="126" spans="2:8" x14ac:dyDescent="0.35">
      <c r="B126" s="25"/>
      <c r="C126" s="4"/>
      <c r="D126" s="24"/>
      <c r="E126" s="24"/>
      <c r="F126" s="5"/>
      <c r="G126" s="5"/>
      <c r="H126" s="5"/>
    </row>
    <row r="127" spans="2:8" x14ac:dyDescent="0.35">
      <c r="B127" s="25"/>
      <c r="C127" s="4"/>
      <c r="D127" s="24"/>
      <c r="E127" s="24"/>
      <c r="F127" s="5"/>
      <c r="G127" s="5"/>
      <c r="H127" s="5"/>
    </row>
    <row r="128" spans="2:8" x14ac:dyDescent="0.35">
      <c r="B128" s="25"/>
      <c r="C128" s="4"/>
      <c r="D128" s="24"/>
      <c r="E128" s="24"/>
      <c r="F128" s="5"/>
      <c r="G128" s="5"/>
      <c r="H128" s="5"/>
    </row>
    <row r="129" spans="2:8" x14ac:dyDescent="0.35">
      <c r="B129" s="25"/>
      <c r="C129" s="4"/>
      <c r="D129" s="24"/>
      <c r="E129" s="24"/>
      <c r="F129" s="5"/>
      <c r="G129" s="5"/>
      <c r="H129" s="5"/>
    </row>
    <row r="130" spans="2:8" x14ac:dyDescent="0.35">
      <c r="B130" s="25"/>
      <c r="C130" s="4"/>
      <c r="D130" s="24"/>
      <c r="E130" s="24"/>
      <c r="F130" s="5"/>
      <c r="G130" s="5"/>
      <c r="H130" s="5"/>
    </row>
    <row r="131" spans="2:8" x14ac:dyDescent="0.35">
      <c r="B131" s="25"/>
      <c r="C131" s="4"/>
      <c r="D131" s="24"/>
      <c r="E131" s="24"/>
      <c r="F131" s="5"/>
      <c r="G131" s="5"/>
      <c r="H131" s="5"/>
    </row>
    <row r="132" spans="2:8" x14ac:dyDescent="0.35">
      <c r="B132" s="25"/>
      <c r="C132" s="4"/>
      <c r="D132" s="24"/>
      <c r="E132" s="24"/>
      <c r="F132" s="5"/>
      <c r="G132" s="5"/>
      <c r="H132" s="5"/>
    </row>
    <row r="133" spans="2:8" x14ac:dyDescent="0.35">
      <c r="B133" s="25"/>
      <c r="C133" s="4"/>
      <c r="D133" s="24"/>
      <c r="E133" s="24"/>
      <c r="F133" s="5"/>
      <c r="G133" s="5"/>
      <c r="H133" s="5"/>
    </row>
    <row r="134" spans="2:8" x14ac:dyDescent="0.35">
      <c r="B134" s="25"/>
      <c r="C134" s="4"/>
      <c r="D134" s="24"/>
      <c r="E134" s="24"/>
      <c r="F134" s="5"/>
      <c r="G134" s="5"/>
      <c r="H134" s="5"/>
    </row>
    <row r="135" spans="2:8" x14ac:dyDescent="0.35">
      <c r="B135" s="25"/>
      <c r="C135" s="4"/>
      <c r="D135" s="24"/>
      <c r="E135" s="24"/>
      <c r="F135" s="5"/>
      <c r="G135" s="5"/>
      <c r="H135" s="5"/>
    </row>
    <row r="136" spans="2:8" x14ac:dyDescent="0.35">
      <c r="B136" s="25"/>
      <c r="C136" s="4"/>
      <c r="D136" s="24"/>
      <c r="E136" s="24"/>
      <c r="F136" s="5"/>
      <c r="G136" s="5"/>
      <c r="H136" s="5"/>
    </row>
    <row r="137" spans="2:8" x14ac:dyDescent="0.35">
      <c r="B137" s="25"/>
      <c r="C137" s="4"/>
      <c r="D137" s="24"/>
      <c r="E137" s="24"/>
      <c r="F137" s="5"/>
      <c r="G137" s="5"/>
      <c r="H137" s="5"/>
    </row>
    <row r="138" spans="2:8" x14ac:dyDescent="0.35">
      <c r="B138" s="25"/>
      <c r="C138" s="4"/>
      <c r="D138" s="24"/>
      <c r="E138" s="24"/>
      <c r="F138" s="5"/>
      <c r="G138" s="5"/>
      <c r="H138" s="5"/>
    </row>
    <row r="139" spans="2:8" x14ac:dyDescent="0.35">
      <c r="B139" s="25"/>
      <c r="C139" s="4"/>
      <c r="D139" s="24"/>
      <c r="E139" s="24"/>
      <c r="F139" s="5"/>
      <c r="G139" s="5"/>
      <c r="H139" s="5"/>
    </row>
    <row r="140" spans="2:8" x14ac:dyDescent="0.35">
      <c r="B140" s="25"/>
      <c r="C140" s="4"/>
      <c r="D140" s="24"/>
      <c r="E140" s="24"/>
      <c r="F140" s="5"/>
      <c r="G140" s="5"/>
      <c r="H140" s="5"/>
    </row>
    <row r="141" spans="2:8" x14ac:dyDescent="0.35">
      <c r="B141" s="25"/>
      <c r="C141" s="4"/>
      <c r="D141" s="24"/>
      <c r="E141" s="24"/>
      <c r="F141" s="5"/>
      <c r="G141" s="5"/>
      <c r="H141" s="5"/>
    </row>
    <row r="142" spans="2:8" x14ac:dyDescent="0.35">
      <c r="B142" s="25"/>
      <c r="C142" s="4"/>
      <c r="D142" s="24"/>
      <c r="E142" s="24"/>
      <c r="F142" s="5"/>
      <c r="G142" s="5"/>
      <c r="H142" s="5"/>
    </row>
    <row r="143" spans="2:8" x14ac:dyDescent="0.35">
      <c r="B143" s="25"/>
      <c r="C143" s="4"/>
      <c r="D143" s="24"/>
      <c r="E143" s="24"/>
      <c r="F143" s="5"/>
      <c r="G143" s="5"/>
      <c r="H143" s="5"/>
    </row>
    <row r="144" spans="2:8" x14ac:dyDescent="0.35">
      <c r="B144" s="25"/>
      <c r="C144" s="4"/>
      <c r="D144" s="24"/>
      <c r="E144" s="24"/>
      <c r="F144" s="5"/>
      <c r="G144" s="5"/>
      <c r="H144" s="5"/>
    </row>
    <row r="145" spans="2:8" x14ac:dyDescent="0.35">
      <c r="B145" s="25"/>
      <c r="C145" s="4"/>
      <c r="D145" s="24"/>
      <c r="E145" s="24"/>
      <c r="F145" s="5"/>
      <c r="G145" s="5"/>
      <c r="H145" s="5"/>
    </row>
    <row r="146" spans="2:8" x14ac:dyDescent="0.35">
      <c r="B146" s="25"/>
      <c r="C146" s="4"/>
      <c r="D146" s="24"/>
      <c r="E146" s="24"/>
      <c r="F146" s="5"/>
      <c r="G146" s="5"/>
      <c r="H146" s="5"/>
    </row>
    <row r="147" spans="2:8" x14ac:dyDescent="0.35">
      <c r="B147" s="25"/>
      <c r="C147" s="4"/>
      <c r="D147" s="24"/>
      <c r="E147" s="24"/>
      <c r="F147" s="5"/>
      <c r="G147" s="5"/>
      <c r="H147" s="5"/>
    </row>
    <row r="148" spans="2:8" x14ac:dyDescent="0.35">
      <c r="B148" s="25"/>
      <c r="C148" s="4"/>
      <c r="D148" s="24"/>
      <c r="E148" s="24"/>
      <c r="F148" s="5"/>
      <c r="G148" s="5"/>
      <c r="H148" s="5"/>
    </row>
    <row r="149" spans="2:8" x14ac:dyDescent="0.35">
      <c r="B149" s="25"/>
      <c r="C149" s="4"/>
      <c r="D149" s="24"/>
      <c r="E149" s="24"/>
      <c r="F149" s="5"/>
      <c r="G149" s="5"/>
      <c r="H149" s="5"/>
    </row>
    <row r="150" spans="2:8" x14ac:dyDescent="0.35">
      <c r="B150" s="25"/>
      <c r="C150" s="4"/>
      <c r="D150" s="24"/>
      <c r="E150" s="24"/>
      <c r="F150" s="5"/>
      <c r="G150" s="5"/>
      <c r="H150" s="5"/>
    </row>
    <row r="151" spans="2:8" x14ac:dyDescent="0.35">
      <c r="B151" s="25"/>
      <c r="C151" s="4"/>
      <c r="D151" s="24"/>
      <c r="E151" s="24"/>
      <c r="F151" s="5"/>
      <c r="G151" s="5"/>
      <c r="H151" s="5"/>
    </row>
    <row r="152" spans="2:8" x14ac:dyDescent="0.35">
      <c r="B152" s="25"/>
      <c r="C152" s="4"/>
      <c r="D152" s="24"/>
      <c r="E152" s="24"/>
      <c r="F152" s="5"/>
      <c r="G152" s="5"/>
      <c r="H152" s="5"/>
    </row>
    <row r="153" spans="2:8" x14ac:dyDescent="0.35">
      <c r="B153" s="25"/>
      <c r="C153" s="4"/>
      <c r="D153" s="24"/>
      <c r="E153" s="24"/>
      <c r="F153" s="5"/>
      <c r="G153" s="5"/>
      <c r="H153" s="5"/>
    </row>
    <row r="154" spans="2:8" x14ac:dyDescent="0.35">
      <c r="B154" s="25"/>
      <c r="C154" s="4"/>
      <c r="D154" s="24"/>
      <c r="E154" s="24"/>
      <c r="F154" s="5"/>
      <c r="G154" s="5"/>
      <c r="H154" s="5"/>
    </row>
    <row r="155" spans="2:8" x14ac:dyDescent="0.35">
      <c r="B155" s="25"/>
      <c r="C155" s="4"/>
      <c r="D155" s="24"/>
      <c r="E155" s="24"/>
      <c r="F155" s="5"/>
      <c r="G155" s="5"/>
      <c r="H155" s="5"/>
    </row>
    <row r="156" spans="2:8" x14ac:dyDescent="0.35">
      <c r="B156" s="25"/>
      <c r="C156" s="4"/>
      <c r="D156" s="24"/>
      <c r="E156" s="24"/>
      <c r="F156" s="5"/>
      <c r="G156" s="5"/>
      <c r="H156" s="5"/>
    </row>
    <row r="157" spans="2:8" x14ac:dyDescent="0.35">
      <c r="B157" s="25"/>
      <c r="C157" s="4"/>
      <c r="D157" s="24"/>
      <c r="E157" s="24"/>
      <c r="F157" s="5"/>
      <c r="G157" s="5"/>
      <c r="H157" s="5"/>
    </row>
    <row r="158" spans="2:8" x14ac:dyDescent="0.35">
      <c r="B158" s="25"/>
      <c r="C158" s="4"/>
      <c r="D158" s="24"/>
      <c r="E158" s="24"/>
      <c r="F158" s="5"/>
      <c r="G158" s="5"/>
      <c r="H158" s="5"/>
    </row>
    <row r="159" spans="2:8" x14ac:dyDescent="0.35">
      <c r="B159" s="25"/>
      <c r="C159" s="4"/>
      <c r="D159" s="24"/>
      <c r="E159" s="24"/>
      <c r="F159" s="5"/>
      <c r="G159" s="5"/>
      <c r="H159" s="5"/>
    </row>
    <row r="160" spans="2:8" x14ac:dyDescent="0.35">
      <c r="B160" s="25"/>
      <c r="C160" s="4"/>
      <c r="D160" s="24"/>
      <c r="E160" s="24"/>
      <c r="F160" s="5"/>
      <c r="G160" s="5"/>
      <c r="H160" s="5"/>
    </row>
    <row r="161" spans="2:8" x14ac:dyDescent="0.35">
      <c r="B161" s="25"/>
      <c r="C161" s="4"/>
      <c r="D161" s="24"/>
      <c r="E161" s="24"/>
      <c r="F161" s="5"/>
      <c r="G161" s="5"/>
      <c r="H161" s="5"/>
    </row>
    <row r="162" spans="2:8" x14ac:dyDescent="0.35">
      <c r="B162" s="25"/>
      <c r="C162" s="4"/>
      <c r="D162" s="24"/>
      <c r="E162" s="24"/>
      <c r="F162" s="5"/>
      <c r="G162" s="5"/>
      <c r="H162" s="5"/>
    </row>
    <row r="163" spans="2:8" x14ac:dyDescent="0.35">
      <c r="B163" s="25"/>
      <c r="C163" s="4"/>
      <c r="D163" s="24"/>
      <c r="E163" s="24"/>
      <c r="F163" s="5"/>
      <c r="G163" s="5"/>
      <c r="H163" s="5"/>
    </row>
    <row r="164" spans="2:8" x14ac:dyDescent="0.35">
      <c r="B164" s="25"/>
      <c r="C164" s="4"/>
      <c r="D164" s="24"/>
      <c r="E164" s="24"/>
      <c r="F164" s="5"/>
      <c r="G164" s="5"/>
      <c r="H164" s="5"/>
    </row>
    <row r="165" spans="2:8" x14ac:dyDescent="0.35">
      <c r="B165" s="25"/>
      <c r="C165" s="4"/>
      <c r="D165" s="24"/>
      <c r="E165" s="24"/>
      <c r="F165" s="5"/>
      <c r="G165" s="5"/>
      <c r="H165" s="5"/>
    </row>
    <row r="166" spans="2:8" x14ac:dyDescent="0.35">
      <c r="B166" s="25"/>
      <c r="C166" s="4"/>
      <c r="D166" s="24"/>
      <c r="E166" s="24"/>
      <c r="F166" s="5"/>
      <c r="G166" s="5"/>
      <c r="H166" s="5"/>
    </row>
    <row r="167" spans="2:8" x14ac:dyDescent="0.35">
      <c r="B167" s="25"/>
      <c r="C167" s="4"/>
      <c r="D167" s="24"/>
      <c r="E167" s="24"/>
      <c r="F167" s="5"/>
      <c r="G167" s="5"/>
      <c r="H167" s="5"/>
    </row>
    <row r="168" spans="2:8" x14ac:dyDescent="0.35">
      <c r="B168" s="25"/>
      <c r="C168" s="4"/>
      <c r="D168" s="24"/>
      <c r="E168" s="24"/>
      <c r="F168" s="5"/>
      <c r="G168" s="5"/>
      <c r="H168" s="5"/>
    </row>
    <row r="169" spans="2:8" x14ac:dyDescent="0.35">
      <c r="B169" s="25"/>
      <c r="C169" s="4"/>
      <c r="D169" s="24"/>
      <c r="E169" s="24"/>
      <c r="F169" s="5"/>
      <c r="G169" s="5"/>
      <c r="H169" s="5"/>
    </row>
    <row r="170" spans="2:8" x14ac:dyDescent="0.35">
      <c r="B170" s="25"/>
      <c r="C170" s="4"/>
      <c r="D170" s="24"/>
      <c r="E170" s="24"/>
      <c r="F170" s="5"/>
      <c r="G170" s="5"/>
      <c r="H170" s="5"/>
    </row>
    <row r="171" spans="2:8" x14ac:dyDescent="0.35">
      <c r="B171" s="25"/>
      <c r="C171" s="4"/>
      <c r="D171" s="24"/>
      <c r="E171" s="24"/>
      <c r="F171" s="5"/>
      <c r="G171" s="5"/>
      <c r="H171" s="5"/>
    </row>
    <row r="172" spans="2:8" x14ac:dyDescent="0.35">
      <c r="B172" s="25"/>
      <c r="C172" s="4"/>
      <c r="D172" s="24"/>
      <c r="E172" s="24"/>
      <c r="F172" s="5"/>
      <c r="G172" s="5"/>
      <c r="H172" s="5"/>
    </row>
    <row r="173" spans="2:8" x14ac:dyDescent="0.35">
      <c r="B173" s="25"/>
      <c r="C173" s="4"/>
      <c r="D173" s="24"/>
      <c r="E173" s="24"/>
      <c r="F173" s="5"/>
      <c r="G173" s="5"/>
      <c r="H173" s="5"/>
    </row>
    <row r="174" spans="2:8" x14ac:dyDescent="0.35">
      <c r="B174" s="25"/>
      <c r="C174" s="4"/>
      <c r="D174" s="24"/>
      <c r="E174" s="24"/>
      <c r="F174" s="5"/>
      <c r="G174" s="5"/>
      <c r="H174" s="5"/>
    </row>
    <row r="175" spans="2:8" x14ac:dyDescent="0.35">
      <c r="B175" s="25"/>
      <c r="C175" s="4"/>
      <c r="D175" s="24"/>
      <c r="E175" s="24"/>
      <c r="F175" s="5"/>
      <c r="G175" s="5"/>
      <c r="H175" s="5"/>
    </row>
    <row r="176" spans="2:8" x14ac:dyDescent="0.35">
      <c r="B176" s="25"/>
      <c r="C176" s="4"/>
      <c r="D176" s="24"/>
      <c r="E176" s="24"/>
      <c r="F176" s="5"/>
      <c r="G176" s="5"/>
      <c r="H176" s="5"/>
    </row>
    <row r="177" spans="2:8" x14ac:dyDescent="0.35">
      <c r="B177" s="25"/>
      <c r="C177" s="4"/>
      <c r="D177" s="24"/>
      <c r="E177" s="24"/>
      <c r="F177" s="5"/>
      <c r="G177" s="5"/>
      <c r="H177" s="5"/>
    </row>
    <row r="178" spans="2:8" x14ac:dyDescent="0.35">
      <c r="B178" s="25"/>
      <c r="C178" s="4"/>
      <c r="D178" s="24"/>
      <c r="E178" s="24"/>
      <c r="F178" s="5"/>
      <c r="G178" s="5"/>
      <c r="H178" s="5"/>
    </row>
    <row r="179" spans="2:8" x14ac:dyDescent="0.35">
      <c r="B179" s="25"/>
      <c r="C179" s="4"/>
      <c r="D179" s="24"/>
      <c r="E179" s="24"/>
      <c r="F179" s="5"/>
      <c r="G179" s="5"/>
      <c r="H179" s="5"/>
    </row>
    <row r="180" spans="2:8" x14ac:dyDescent="0.35">
      <c r="B180" s="25"/>
      <c r="C180" s="4"/>
      <c r="D180" s="24"/>
      <c r="E180" s="24"/>
      <c r="F180" s="5"/>
      <c r="G180" s="5"/>
      <c r="H180" s="5"/>
    </row>
    <row r="181" spans="2:8" x14ac:dyDescent="0.35">
      <c r="B181" s="25"/>
      <c r="C181" s="4"/>
      <c r="D181" s="24"/>
      <c r="E181" s="24"/>
      <c r="F181" s="5"/>
      <c r="G181" s="5"/>
      <c r="H181" s="5"/>
    </row>
    <row r="182" spans="2:8" x14ac:dyDescent="0.35">
      <c r="B182" s="25"/>
      <c r="C182" s="4"/>
      <c r="D182" s="24"/>
      <c r="E182" s="24"/>
      <c r="F182" s="5"/>
      <c r="G182" s="5"/>
      <c r="H182" s="5"/>
    </row>
    <row r="183" spans="2:8" x14ac:dyDescent="0.35">
      <c r="B183" s="25"/>
      <c r="C183" s="4"/>
      <c r="D183" s="24"/>
      <c r="E183" s="24"/>
      <c r="F183" s="5"/>
      <c r="G183" s="5"/>
      <c r="H183" s="5"/>
    </row>
    <row r="184" spans="2:8" x14ac:dyDescent="0.35">
      <c r="B184" s="25"/>
      <c r="C184" s="4"/>
      <c r="D184" s="24"/>
      <c r="E184" s="24"/>
      <c r="F184" s="5"/>
      <c r="G184" s="5"/>
      <c r="H184" s="5"/>
    </row>
    <row r="185" spans="2:8" x14ac:dyDescent="0.35">
      <c r="B185" s="25"/>
      <c r="C185" s="4"/>
      <c r="D185" s="24"/>
      <c r="E185" s="24"/>
      <c r="F185" s="5"/>
      <c r="G185" s="5"/>
      <c r="H185" s="5"/>
    </row>
    <row r="186" spans="2:8" x14ac:dyDescent="0.35">
      <c r="B186" s="25"/>
      <c r="C186" s="4"/>
      <c r="D186" s="24"/>
      <c r="E186" s="24"/>
      <c r="F186" s="5"/>
      <c r="G186" s="5"/>
      <c r="H186" s="5"/>
    </row>
    <row r="187" spans="2:8" x14ac:dyDescent="0.35">
      <c r="B187" s="25"/>
      <c r="C187" s="4"/>
      <c r="D187" s="24"/>
      <c r="E187" s="24"/>
      <c r="F187" s="5"/>
      <c r="G187" s="5"/>
      <c r="H187" s="5"/>
    </row>
    <row r="188" spans="2:8" x14ac:dyDescent="0.35">
      <c r="B188" s="25"/>
      <c r="C188" s="4"/>
      <c r="D188" s="24"/>
      <c r="E188" s="24"/>
      <c r="F188" s="5"/>
      <c r="G188" s="5"/>
      <c r="H188" s="5"/>
    </row>
    <row r="189" spans="2:8" x14ac:dyDescent="0.35">
      <c r="B189" s="25"/>
      <c r="C189" s="4"/>
      <c r="D189" s="24"/>
      <c r="E189" s="24"/>
      <c r="F189" s="5"/>
      <c r="G189" s="5"/>
      <c r="H189" s="5"/>
    </row>
    <row r="190" spans="2:8" x14ac:dyDescent="0.35">
      <c r="B190" s="25"/>
      <c r="C190" s="4"/>
      <c r="D190" s="24"/>
      <c r="E190" s="24"/>
      <c r="F190" s="5"/>
      <c r="G190" s="5"/>
      <c r="H190" s="5"/>
    </row>
    <row r="191" spans="2:8" x14ac:dyDescent="0.35">
      <c r="B191" s="25"/>
      <c r="C191" s="4"/>
      <c r="D191" s="24"/>
      <c r="E191" s="24"/>
      <c r="F191" s="5"/>
      <c r="G191" s="5"/>
      <c r="H191" s="5"/>
    </row>
    <row r="192" spans="2:8" x14ac:dyDescent="0.35">
      <c r="B192" s="25"/>
      <c r="C192" s="4"/>
      <c r="D192" s="24"/>
      <c r="E192" s="24"/>
      <c r="F192" s="5"/>
      <c r="G192" s="5"/>
      <c r="H192" s="5"/>
    </row>
    <row r="193" spans="2:8" x14ac:dyDescent="0.35">
      <c r="B193" s="25"/>
      <c r="C193" s="4"/>
      <c r="D193" s="24"/>
      <c r="E193" s="24"/>
      <c r="F193" s="5"/>
      <c r="G193" s="5"/>
      <c r="H193" s="5"/>
    </row>
    <row r="194" spans="2:8" x14ac:dyDescent="0.35">
      <c r="B194" s="25"/>
      <c r="C194" s="4"/>
      <c r="D194" s="24"/>
      <c r="E194" s="24"/>
      <c r="F194" s="5"/>
      <c r="G194" s="5"/>
      <c r="H194" s="5"/>
    </row>
    <row r="195" spans="2:8" x14ac:dyDescent="0.35">
      <c r="B195" s="25"/>
      <c r="C195" s="4"/>
      <c r="D195" s="24"/>
      <c r="E195" s="24"/>
      <c r="F195" s="5"/>
      <c r="G195" s="5"/>
      <c r="H195" s="5"/>
    </row>
    <row r="196" spans="2:8" x14ac:dyDescent="0.35">
      <c r="B196" s="25"/>
      <c r="C196" s="4"/>
      <c r="D196" s="24"/>
      <c r="E196" s="24"/>
      <c r="F196" s="5"/>
      <c r="G196" s="5"/>
      <c r="H196" s="5"/>
    </row>
    <row r="197" spans="2:8" x14ac:dyDescent="0.35">
      <c r="B197" s="25"/>
      <c r="C197" s="4"/>
      <c r="D197" s="24"/>
      <c r="E197" s="24"/>
      <c r="F197" s="5"/>
      <c r="G197" s="5"/>
      <c r="H197" s="5"/>
    </row>
    <row r="198" spans="2:8" x14ac:dyDescent="0.35">
      <c r="B198" s="25"/>
      <c r="C198" s="4"/>
      <c r="D198" s="24"/>
      <c r="E198" s="24"/>
      <c r="F198" s="5"/>
      <c r="G198" s="5"/>
      <c r="H198" s="5"/>
    </row>
    <row r="199" spans="2:8" x14ac:dyDescent="0.35">
      <c r="B199" s="25"/>
      <c r="C199" s="4"/>
      <c r="D199" s="24"/>
      <c r="E199" s="24"/>
      <c r="F199" s="5"/>
      <c r="G199" s="5"/>
      <c r="H199" s="5"/>
    </row>
    <row r="200" spans="2:8" x14ac:dyDescent="0.35">
      <c r="B200" s="25"/>
      <c r="C200" s="4"/>
      <c r="D200" s="24"/>
      <c r="E200" s="24"/>
      <c r="F200" s="5"/>
      <c r="G200" s="5"/>
      <c r="H200" s="5"/>
    </row>
    <row r="201" spans="2:8" x14ac:dyDescent="0.35">
      <c r="B201" s="25"/>
      <c r="C201" s="4"/>
      <c r="D201" s="24"/>
      <c r="E201" s="24"/>
      <c r="F201" s="5"/>
      <c r="G201" s="5"/>
      <c r="H201" s="5"/>
    </row>
    <row r="202" spans="2:8" x14ac:dyDescent="0.35">
      <c r="B202" s="25"/>
      <c r="C202" s="4"/>
      <c r="D202" s="24"/>
      <c r="E202" s="24"/>
      <c r="F202" s="5"/>
      <c r="G202" s="5"/>
      <c r="H202" s="5"/>
    </row>
    <row r="203" spans="2:8" x14ac:dyDescent="0.35">
      <c r="B203" s="25"/>
      <c r="C203" s="4"/>
      <c r="D203" s="24"/>
      <c r="E203" s="24"/>
      <c r="F203" s="5"/>
      <c r="G203" s="5"/>
      <c r="H203" s="5"/>
    </row>
    <row r="204" spans="2:8" x14ac:dyDescent="0.35">
      <c r="B204" s="25"/>
      <c r="C204" s="4"/>
      <c r="D204" s="24"/>
      <c r="E204" s="24"/>
      <c r="F204" s="5"/>
      <c r="G204" s="5"/>
      <c r="H204" s="5"/>
    </row>
    <row r="205" spans="2:8" x14ac:dyDescent="0.35">
      <c r="B205" s="25"/>
      <c r="C205" s="4"/>
      <c r="D205" s="24"/>
      <c r="E205" s="24"/>
      <c r="F205" s="5"/>
      <c r="G205" s="5"/>
      <c r="H205" s="5"/>
    </row>
    <row r="206" spans="2:8" x14ac:dyDescent="0.35">
      <c r="B206" s="25"/>
      <c r="C206" s="4"/>
      <c r="D206" s="24"/>
      <c r="E206" s="24"/>
      <c r="F206" s="5"/>
      <c r="G206" s="5"/>
      <c r="H206" s="5"/>
    </row>
    <row r="207" spans="2:8" x14ac:dyDescent="0.35">
      <c r="B207" s="25"/>
      <c r="C207" s="4"/>
      <c r="D207" s="24"/>
      <c r="E207" s="24"/>
      <c r="F207" s="5"/>
      <c r="G207" s="5"/>
      <c r="H207" s="5"/>
    </row>
    <row r="208" spans="2:8" x14ac:dyDescent="0.35">
      <c r="B208" s="25"/>
      <c r="C208" s="4"/>
      <c r="D208" s="24"/>
      <c r="E208" s="24"/>
      <c r="F208" s="5"/>
      <c r="G208" s="5"/>
      <c r="H208" s="5"/>
    </row>
    <row r="209" spans="2:8" x14ac:dyDescent="0.35">
      <c r="B209" s="25"/>
      <c r="C209" s="4"/>
      <c r="D209" s="24"/>
      <c r="E209" s="24"/>
      <c r="F209" s="5"/>
      <c r="G209" s="5"/>
      <c r="H209" s="5"/>
    </row>
    <row r="210" spans="2:8" x14ac:dyDescent="0.35">
      <c r="B210" s="25"/>
      <c r="C210" s="4"/>
      <c r="D210" s="24"/>
      <c r="E210" s="24"/>
      <c r="F210" s="5"/>
      <c r="G210" s="5"/>
      <c r="H210" s="5"/>
    </row>
    <row r="211" spans="2:8" x14ac:dyDescent="0.35">
      <c r="B211" s="25"/>
      <c r="C211" s="4"/>
      <c r="D211" s="24"/>
      <c r="E211" s="24"/>
      <c r="F211" s="5"/>
      <c r="G211" s="5"/>
      <c r="H211" s="5"/>
    </row>
    <row r="212" spans="2:8" x14ac:dyDescent="0.35">
      <c r="B212" s="25"/>
      <c r="C212" s="4"/>
      <c r="D212" s="24"/>
      <c r="E212" s="24"/>
      <c r="F212" s="5"/>
      <c r="G212" s="5"/>
      <c r="H212" s="5"/>
    </row>
    <row r="213" spans="2:8" x14ac:dyDescent="0.35">
      <c r="B213" s="25"/>
      <c r="C213" s="4"/>
      <c r="D213" s="24"/>
      <c r="E213" s="24"/>
      <c r="F213" s="5"/>
      <c r="G213" s="5"/>
      <c r="H213" s="5"/>
    </row>
    <row r="214" spans="2:8" x14ac:dyDescent="0.35">
      <c r="B214" s="25"/>
      <c r="C214" s="4"/>
      <c r="D214" s="24"/>
      <c r="E214" s="24"/>
      <c r="F214" s="5"/>
      <c r="G214" s="5"/>
      <c r="H214" s="5"/>
    </row>
    <row r="215" spans="2:8" x14ac:dyDescent="0.35">
      <c r="B215" s="25"/>
      <c r="C215" s="4"/>
      <c r="D215" s="24"/>
      <c r="E215" s="24"/>
      <c r="F215" s="5"/>
      <c r="G215" s="5"/>
      <c r="H215" s="5"/>
    </row>
    <row r="216" spans="2:8" x14ac:dyDescent="0.35">
      <c r="B216" s="25"/>
      <c r="C216" s="4"/>
      <c r="D216" s="24"/>
      <c r="E216" s="24"/>
      <c r="F216" s="5"/>
      <c r="G216" s="5"/>
      <c r="H216" s="5"/>
    </row>
    <row r="217" spans="2:8" x14ac:dyDescent="0.35">
      <c r="B217" s="25"/>
      <c r="C217" s="4"/>
      <c r="D217" s="24"/>
      <c r="E217" s="24"/>
      <c r="F217" s="5"/>
      <c r="G217" s="5"/>
      <c r="H217" s="5"/>
    </row>
    <row r="218" spans="2:8" x14ac:dyDescent="0.35">
      <c r="B218" s="25"/>
      <c r="C218" s="4"/>
      <c r="D218" s="24"/>
      <c r="E218" s="24"/>
      <c r="F218" s="5"/>
      <c r="G218" s="5"/>
      <c r="H218" s="5"/>
    </row>
    <row r="219" spans="2:8" x14ac:dyDescent="0.35">
      <c r="B219" s="25"/>
      <c r="C219" s="4"/>
      <c r="D219" s="24"/>
      <c r="E219" s="24"/>
      <c r="F219" s="5"/>
      <c r="G219" s="5"/>
      <c r="H219" s="5"/>
    </row>
    <row r="220" spans="2:8" x14ac:dyDescent="0.35">
      <c r="B220" s="25"/>
      <c r="C220" s="4"/>
      <c r="D220" s="24"/>
      <c r="E220" s="24"/>
      <c r="F220" s="5"/>
      <c r="G220" s="5"/>
      <c r="H220" s="5"/>
    </row>
    <row r="221" spans="2:8" x14ac:dyDescent="0.35">
      <c r="B221" s="25"/>
      <c r="C221" s="4"/>
      <c r="D221" s="24"/>
      <c r="E221" s="24"/>
      <c r="F221" s="5"/>
      <c r="G221" s="5"/>
      <c r="H221" s="5"/>
    </row>
    <row r="222" spans="2:8" x14ac:dyDescent="0.35">
      <c r="B222" s="25"/>
      <c r="C222" s="4"/>
      <c r="D222" s="24"/>
      <c r="E222" s="24"/>
      <c r="F222" s="5"/>
      <c r="G222" s="5"/>
      <c r="H222" s="5"/>
    </row>
    <row r="223" spans="2:8" x14ac:dyDescent="0.35">
      <c r="B223" s="25"/>
      <c r="C223" s="4"/>
      <c r="D223" s="24"/>
      <c r="E223" s="24"/>
      <c r="F223" s="5"/>
      <c r="G223" s="5"/>
      <c r="H223" s="5"/>
    </row>
    <row r="224" spans="2:8" x14ac:dyDescent="0.35">
      <c r="B224" s="25"/>
      <c r="C224" s="4"/>
      <c r="D224" s="24"/>
      <c r="E224" s="24"/>
      <c r="F224" s="5"/>
      <c r="G224" s="5"/>
      <c r="H224" s="5"/>
    </row>
    <row r="225" spans="2:8" x14ac:dyDescent="0.35">
      <c r="B225" s="25"/>
      <c r="C225" s="4"/>
      <c r="D225" s="24"/>
      <c r="E225" s="24"/>
      <c r="F225" s="5"/>
      <c r="G225" s="5"/>
      <c r="H225" s="5"/>
    </row>
    <row r="226" spans="2:8" x14ac:dyDescent="0.35">
      <c r="B226" s="25"/>
      <c r="C226" s="4"/>
      <c r="D226" s="24"/>
      <c r="E226" s="24"/>
      <c r="F226" s="5"/>
      <c r="G226" s="5"/>
      <c r="H226" s="5"/>
    </row>
    <row r="227" spans="2:8" x14ac:dyDescent="0.35">
      <c r="B227" s="25"/>
      <c r="C227" s="4"/>
      <c r="D227" s="24"/>
      <c r="E227" s="24"/>
      <c r="F227" s="5"/>
      <c r="G227" s="5"/>
      <c r="H227" s="5"/>
    </row>
    <row r="228" spans="2:8" x14ac:dyDescent="0.35">
      <c r="B228" s="25"/>
      <c r="C228" s="4"/>
      <c r="D228" s="24"/>
      <c r="E228" s="24"/>
      <c r="F228" s="5"/>
      <c r="G228" s="5"/>
      <c r="H228" s="5"/>
    </row>
    <row r="229" spans="2:8" x14ac:dyDescent="0.35">
      <c r="B229" s="25"/>
      <c r="C229" s="4"/>
      <c r="D229" s="24"/>
      <c r="E229" s="24"/>
      <c r="F229" s="5"/>
      <c r="G229" s="5"/>
      <c r="H229" s="5"/>
    </row>
    <row r="230" spans="2:8" x14ac:dyDescent="0.35">
      <c r="B230" s="25"/>
      <c r="C230" s="4"/>
      <c r="D230" s="24"/>
      <c r="E230" s="24"/>
      <c r="F230" s="5"/>
      <c r="G230" s="5"/>
      <c r="H230" s="5"/>
    </row>
    <row r="231" spans="2:8" x14ac:dyDescent="0.35">
      <c r="B231" s="25"/>
      <c r="C231" s="4"/>
      <c r="D231" s="24"/>
      <c r="E231" s="24"/>
      <c r="F231" s="5"/>
      <c r="G231" s="5"/>
      <c r="H231" s="5"/>
    </row>
    <row r="232" spans="2:8" x14ac:dyDescent="0.35">
      <c r="B232" s="25"/>
      <c r="C232" s="4"/>
      <c r="D232" s="24"/>
      <c r="E232" s="24"/>
      <c r="F232" s="5"/>
      <c r="G232" s="5"/>
      <c r="H232" s="5"/>
    </row>
    <row r="233" spans="2:8" x14ac:dyDescent="0.35">
      <c r="B233" s="25"/>
      <c r="C233" s="4"/>
      <c r="D233" s="24"/>
      <c r="E233" s="24"/>
      <c r="F233" s="5"/>
      <c r="G233" s="5"/>
      <c r="H233" s="5"/>
    </row>
    <row r="234" spans="2:8" x14ac:dyDescent="0.35">
      <c r="B234" s="25"/>
      <c r="C234" s="4"/>
      <c r="D234" s="24"/>
      <c r="E234" s="24"/>
      <c r="F234" s="5"/>
      <c r="G234" s="5"/>
      <c r="H234" s="5"/>
    </row>
    <row r="235" spans="2:8" x14ac:dyDescent="0.35">
      <c r="B235" s="25"/>
      <c r="C235" s="4"/>
      <c r="D235" s="24"/>
      <c r="E235" s="24"/>
      <c r="F235" s="5"/>
      <c r="G235" s="5"/>
      <c r="H235" s="5"/>
    </row>
    <row r="236" spans="2:8" x14ac:dyDescent="0.35">
      <c r="B236" s="25"/>
      <c r="C236" s="4"/>
      <c r="D236" s="24"/>
      <c r="E236" s="24"/>
      <c r="F236" s="5"/>
      <c r="G236" s="5"/>
      <c r="H236" s="5"/>
    </row>
    <row r="237" spans="2:8" x14ac:dyDescent="0.35">
      <c r="B237" s="25"/>
      <c r="C237" s="4"/>
      <c r="D237" s="24"/>
      <c r="E237" s="24"/>
      <c r="F237" s="5"/>
      <c r="G237" s="5"/>
      <c r="H237" s="5"/>
    </row>
    <row r="238" spans="2:8" x14ac:dyDescent="0.35">
      <c r="B238" s="25"/>
      <c r="C238" s="4"/>
      <c r="D238" s="24"/>
      <c r="E238" s="24"/>
      <c r="F238" s="5"/>
      <c r="G238" s="5"/>
      <c r="H238" s="5"/>
    </row>
    <row r="239" spans="2:8" x14ac:dyDescent="0.35">
      <c r="B239" s="25"/>
      <c r="C239" s="4"/>
      <c r="D239" s="24"/>
      <c r="E239" s="24"/>
      <c r="F239" s="5"/>
      <c r="G239" s="5"/>
      <c r="H239" s="5"/>
    </row>
    <row r="240" spans="2:8" x14ac:dyDescent="0.35">
      <c r="B240" s="25"/>
      <c r="C240" s="4"/>
      <c r="D240" s="24"/>
      <c r="E240" s="24"/>
      <c r="F240" s="5"/>
      <c r="G240" s="5"/>
      <c r="H240" s="5"/>
    </row>
    <row r="241" spans="2:8" x14ac:dyDescent="0.35">
      <c r="B241" s="25"/>
      <c r="C241" s="4"/>
      <c r="D241" s="24"/>
      <c r="E241" s="24"/>
      <c r="F241" s="5"/>
      <c r="G241" s="5"/>
      <c r="H241" s="5"/>
    </row>
    <row r="242" spans="2:8" x14ac:dyDescent="0.35">
      <c r="B242" s="25"/>
      <c r="C242" s="4"/>
      <c r="D242" s="24"/>
      <c r="E242" s="24"/>
      <c r="F242" s="5"/>
      <c r="G242" s="5"/>
      <c r="H242" s="5"/>
    </row>
    <row r="243" spans="2:8" x14ac:dyDescent="0.35">
      <c r="B243" s="25"/>
      <c r="C243" s="4"/>
      <c r="D243" s="24"/>
      <c r="E243" s="24"/>
      <c r="F243" s="5"/>
      <c r="G243" s="5"/>
      <c r="H243" s="5"/>
    </row>
    <row r="244" spans="2:8" x14ac:dyDescent="0.35">
      <c r="B244" s="25"/>
      <c r="C244" s="4"/>
      <c r="D244" s="24"/>
      <c r="E244" s="24"/>
      <c r="F244" s="5"/>
      <c r="G244" s="5"/>
      <c r="H244" s="5"/>
    </row>
    <row r="245" spans="2:8" x14ac:dyDescent="0.35">
      <c r="B245" s="25"/>
      <c r="C245" s="4"/>
      <c r="D245" s="24"/>
      <c r="E245" s="24"/>
      <c r="F245" s="5"/>
      <c r="G245" s="5"/>
      <c r="H245" s="5"/>
    </row>
    <row r="246" spans="2:8" x14ac:dyDescent="0.35">
      <c r="B246" s="25"/>
      <c r="C246" s="4"/>
      <c r="D246" s="24"/>
      <c r="E246" s="24"/>
      <c r="F246" s="5"/>
      <c r="G246" s="5"/>
      <c r="H246" s="5"/>
    </row>
    <row r="247" spans="2:8" x14ac:dyDescent="0.35">
      <c r="B247" s="25"/>
      <c r="C247" s="4"/>
      <c r="D247" s="24"/>
      <c r="E247" s="24"/>
      <c r="F247" s="5"/>
      <c r="G247" s="5"/>
      <c r="H247" s="5"/>
    </row>
    <row r="248" spans="2:8" x14ac:dyDescent="0.35">
      <c r="B248" s="25"/>
      <c r="C248" s="4"/>
      <c r="D248" s="24"/>
      <c r="E248" s="24"/>
      <c r="F248" s="5"/>
      <c r="G248" s="5"/>
      <c r="H248" s="5"/>
    </row>
    <row r="249" spans="2:8" x14ac:dyDescent="0.35">
      <c r="B249" s="25"/>
      <c r="C249" s="4"/>
      <c r="D249" s="24"/>
      <c r="E249" s="24"/>
      <c r="F249" s="5"/>
      <c r="G249" s="5"/>
      <c r="H249" s="5"/>
    </row>
    <row r="250" spans="2:8" x14ac:dyDescent="0.35">
      <c r="B250" s="25"/>
      <c r="C250" s="4"/>
      <c r="D250" s="24"/>
      <c r="E250" s="24"/>
      <c r="F250" s="5"/>
      <c r="G250" s="5"/>
      <c r="H250" s="5"/>
    </row>
    <row r="251" spans="2:8" x14ac:dyDescent="0.35">
      <c r="B251" s="25"/>
      <c r="C251" s="4"/>
      <c r="D251" s="24"/>
      <c r="E251" s="24"/>
      <c r="F251" s="5"/>
      <c r="G251" s="5"/>
      <c r="H251" s="5"/>
    </row>
    <row r="252" spans="2:8" x14ac:dyDescent="0.35">
      <c r="B252" s="25"/>
      <c r="C252" s="4"/>
      <c r="D252" s="24"/>
      <c r="E252" s="24"/>
      <c r="F252" s="5"/>
      <c r="G252" s="5"/>
      <c r="H252" s="5"/>
    </row>
    <row r="253" spans="2:8" x14ac:dyDescent="0.35">
      <c r="B253" s="25"/>
      <c r="C253" s="4"/>
      <c r="D253" s="24"/>
      <c r="E253" s="24"/>
      <c r="F253" s="5"/>
      <c r="G253" s="5"/>
      <c r="H253" s="5"/>
    </row>
    <row r="254" spans="2:8" x14ac:dyDescent="0.35">
      <c r="B254" s="25"/>
      <c r="C254" s="4"/>
      <c r="D254" s="24"/>
      <c r="E254" s="24"/>
      <c r="F254" s="5"/>
      <c r="G254" s="5"/>
      <c r="H254" s="5"/>
    </row>
    <row r="255" spans="2:8" x14ac:dyDescent="0.35">
      <c r="B255" s="25"/>
      <c r="C255" s="4"/>
      <c r="D255" s="24"/>
      <c r="E255" s="24"/>
      <c r="F255" s="5"/>
      <c r="G255" s="5"/>
      <c r="H255" s="5"/>
    </row>
    <row r="256" spans="2:8" x14ac:dyDescent="0.35">
      <c r="B256" s="25"/>
      <c r="C256" s="4"/>
      <c r="D256" s="24"/>
      <c r="E256" s="24"/>
      <c r="F256" s="5"/>
      <c r="G256" s="5"/>
      <c r="H256" s="5"/>
    </row>
    <row r="257" spans="2:8" x14ac:dyDescent="0.35">
      <c r="B257" s="25"/>
      <c r="C257" s="4"/>
      <c r="D257" s="24"/>
      <c r="E257" s="24"/>
      <c r="F257" s="5"/>
      <c r="G257" s="5"/>
      <c r="H257" s="5"/>
    </row>
    <row r="258" spans="2:8" x14ac:dyDescent="0.35">
      <c r="B258" s="25"/>
      <c r="C258" s="4"/>
      <c r="D258" s="24"/>
      <c r="E258" s="24"/>
      <c r="F258" s="5"/>
      <c r="G258" s="5"/>
      <c r="H258" s="5"/>
    </row>
    <row r="259" spans="2:8" x14ac:dyDescent="0.35">
      <c r="B259" s="25"/>
      <c r="C259" s="4"/>
      <c r="D259" s="24"/>
      <c r="E259" s="24"/>
      <c r="F259" s="5"/>
      <c r="G259" s="5"/>
      <c r="H259" s="5"/>
    </row>
    <row r="260" spans="2:8" x14ac:dyDescent="0.35">
      <c r="B260" s="25"/>
      <c r="C260" s="4"/>
      <c r="D260" s="24"/>
      <c r="E260" s="24"/>
      <c r="F260" s="5"/>
      <c r="G260" s="5"/>
      <c r="H260" s="5"/>
    </row>
    <row r="261" spans="2:8" x14ac:dyDescent="0.35">
      <c r="B261" s="25"/>
      <c r="C261" s="4"/>
      <c r="D261" s="24"/>
      <c r="E261" s="24"/>
      <c r="F261" s="5"/>
      <c r="G261" s="5"/>
      <c r="H261" s="5"/>
    </row>
    <row r="262" spans="2:8" x14ac:dyDescent="0.35">
      <c r="B262" s="25"/>
      <c r="C262" s="4"/>
      <c r="D262" s="24"/>
      <c r="E262" s="24"/>
      <c r="F262" s="5"/>
      <c r="G262" s="5"/>
      <c r="H262" s="5"/>
    </row>
    <row r="263" spans="2:8" x14ac:dyDescent="0.35">
      <c r="B263" s="25"/>
      <c r="C263" s="4"/>
      <c r="D263" s="24"/>
      <c r="E263" s="24"/>
      <c r="F263" s="5"/>
      <c r="G263" s="5"/>
      <c r="H263" s="5"/>
    </row>
    <row r="264" spans="2:8" x14ac:dyDescent="0.35">
      <c r="B264" s="25"/>
      <c r="C264" s="4"/>
      <c r="D264" s="24"/>
      <c r="E264" s="24"/>
      <c r="F264" s="5"/>
      <c r="G264" s="5"/>
      <c r="H264" s="5"/>
    </row>
    <row r="265" spans="2:8" x14ac:dyDescent="0.35">
      <c r="B265" s="25"/>
      <c r="C265" s="4"/>
      <c r="D265" s="24"/>
      <c r="E265" s="24"/>
      <c r="F265" s="5"/>
      <c r="G265" s="5"/>
      <c r="H265" s="5"/>
    </row>
    <row r="266" spans="2:8" x14ac:dyDescent="0.35">
      <c r="B266" s="25"/>
      <c r="C266" s="4"/>
      <c r="D266" s="24"/>
      <c r="E266" s="24"/>
      <c r="F266" s="5"/>
      <c r="G266" s="5"/>
      <c r="H266" s="5"/>
    </row>
    <row r="267" spans="2:8" x14ac:dyDescent="0.35">
      <c r="B267" s="25"/>
      <c r="C267" s="4"/>
      <c r="D267" s="24"/>
      <c r="E267" s="24"/>
      <c r="F267" s="5"/>
      <c r="G267" s="5"/>
      <c r="H267" s="5"/>
    </row>
    <row r="268" spans="2:8" x14ac:dyDescent="0.35">
      <c r="B268" s="25"/>
      <c r="C268" s="4"/>
      <c r="D268" s="24"/>
      <c r="E268" s="24"/>
      <c r="F268" s="5"/>
      <c r="G268" s="5"/>
      <c r="H268" s="5"/>
    </row>
    <row r="269" spans="2:8" x14ac:dyDescent="0.35">
      <c r="B269" s="25"/>
      <c r="C269" s="4"/>
      <c r="D269" s="24"/>
      <c r="E269" s="24"/>
      <c r="F269" s="5"/>
      <c r="G269" s="5"/>
      <c r="H269" s="5"/>
    </row>
    <row r="270" spans="2:8" x14ac:dyDescent="0.35">
      <c r="B270" s="25"/>
      <c r="C270" s="4"/>
      <c r="D270" s="24"/>
      <c r="E270" s="24"/>
      <c r="F270" s="5"/>
      <c r="G270" s="5"/>
      <c r="H270" s="5"/>
    </row>
    <row r="271" spans="2:8" x14ac:dyDescent="0.35">
      <c r="B271" s="25"/>
      <c r="C271" s="4"/>
      <c r="D271" s="24"/>
      <c r="E271" s="24"/>
      <c r="F271" s="5"/>
      <c r="G271" s="5"/>
      <c r="H271" s="5"/>
    </row>
    <row r="272" spans="2:8" x14ac:dyDescent="0.35">
      <c r="B272" s="25"/>
      <c r="C272" s="4"/>
      <c r="D272" s="24"/>
      <c r="E272" s="24"/>
      <c r="F272" s="5"/>
      <c r="G272" s="5"/>
      <c r="H272" s="5"/>
    </row>
    <row r="273" spans="2:8" x14ac:dyDescent="0.35">
      <c r="B273" s="25"/>
      <c r="C273" s="4"/>
      <c r="D273" s="24"/>
      <c r="E273" s="24"/>
      <c r="F273" s="5"/>
      <c r="G273" s="5"/>
      <c r="H273" s="5"/>
    </row>
    <row r="274" spans="2:8" x14ac:dyDescent="0.35">
      <c r="B274" s="25"/>
      <c r="C274" s="4"/>
      <c r="D274" s="24"/>
      <c r="E274" s="24"/>
      <c r="F274" s="5"/>
      <c r="G274" s="5"/>
      <c r="H274" s="5"/>
    </row>
    <row r="275" spans="2:8" x14ac:dyDescent="0.35">
      <c r="B275" s="25"/>
      <c r="C275" s="4"/>
      <c r="D275" s="24"/>
      <c r="E275" s="24"/>
      <c r="F275" s="5"/>
      <c r="G275" s="5"/>
      <c r="H275" s="5"/>
    </row>
    <row r="276" spans="2:8" x14ac:dyDescent="0.35">
      <c r="B276" s="25"/>
      <c r="C276" s="4"/>
      <c r="D276" s="24"/>
      <c r="E276" s="24"/>
      <c r="F276" s="5"/>
      <c r="G276" s="5"/>
      <c r="H276" s="5"/>
    </row>
    <row r="277" spans="2:8" x14ac:dyDescent="0.35">
      <c r="B277" s="25"/>
      <c r="C277" s="4"/>
      <c r="D277" s="24"/>
      <c r="E277" s="24"/>
      <c r="F277" s="5"/>
      <c r="G277" s="5"/>
      <c r="H277" s="5"/>
    </row>
    <row r="278" spans="2:8" x14ac:dyDescent="0.35">
      <c r="B278" s="25"/>
      <c r="C278" s="4"/>
      <c r="D278" s="24"/>
      <c r="E278" s="24"/>
      <c r="F278" s="5"/>
      <c r="G278" s="5"/>
      <c r="H278" s="5"/>
    </row>
    <row r="279" spans="2:8" x14ac:dyDescent="0.35">
      <c r="B279" s="25"/>
      <c r="C279" s="4"/>
      <c r="D279" s="24"/>
      <c r="E279" s="24"/>
      <c r="F279" s="5"/>
      <c r="G279" s="5"/>
      <c r="H279" s="5"/>
    </row>
    <row r="280" spans="2:8" x14ac:dyDescent="0.35">
      <c r="B280" s="25"/>
      <c r="C280" s="4"/>
      <c r="D280" s="24"/>
      <c r="E280" s="24"/>
      <c r="F280" s="5"/>
      <c r="G280" s="5"/>
      <c r="H280" s="5"/>
    </row>
    <row r="281" spans="2:8" x14ac:dyDescent="0.35">
      <c r="B281" s="25"/>
      <c r="C281" s="4"/>
      <c r="D281" s="24"/>
      <c r="E281" s="24"/>
      <c r="F281" s="5"/>
      <c r="G281" s="5"/>
      <c r="H281" s="5"/>
    </row>
    <row r="282" spans="2:8" x14ac:dyDescent="0.35">
      <c r="B282" s="25"/>
      <c r="C282" s="4"/>
      <c r="D282" s="24"/>
      <c r="E282" s="24"/>
      <c r="F282" s="5"/>
      <c r="G282" s="5"/>
      <c r="H282" s="5"/>
    </row>
    <row r="283" spans="2:8" x14ac:dyDescent="0.35">
      <c r="B283" s="25"/>
      <c r="C283" s="4"/>
      <c r="D283" s="24"/>
      <c r="E283" s="24"/>
      <c r="F283" s="5"/>
      <c r="G283" s="5"/>
      <c r="H283" s="5"/>
    </row>
    <row r="284" spans="2:8" x14ac:dyDescent="0.35">
      <c r="B284" s="25"/>
      <c r="C284" s="4"/>
      <c r="D284" s="24"/>
      <c r="E284" s="24"/>
      <c r="F284" s="5"/>
      <c r="G284" s="5"/>
      <c r="H284" s="5"/>
    </row>
    <row r="285" spans="2:8" x14ac:dyDescent="0.35">
      <c r="B285" s="25"/>
      <c r="C285" s="4"/>
      <c r="D285" s="24"/>
      <c r="E285" s="24"/>
      <c r="F285" s="5"/>
      <c r="G285" s="5"/>
      <c r="H285" s="5"/>
    </row>
    <row r="286" spans="2:8" x14ac:dyDescent="0.35">
      <c r="B286" s="25"/>
      <c r="C286" s="4"/>
      <c r="D286" s="24"/>
      <c r="E286" s="24"/>
      <c r="F286" s="5"/>
      <c r="G286" s="5"/>
      <c r="H286" s="5"/>
    </row>
    <row r="287" spans="2:8" x14ac:dyDescent="0.35">
      <c r="B287" s="25"/>
      <c r="C287" s="4"/>
      <c r="D287" s="24"/>
      <c r="E287" s="24"/>
      <c r="F287" s="5"/>
      <c r="G287" s="5"/>
      <c r="H287" s="5"/>
    </row>
    <row r="288" spans="2:8" x14ac:dyDescent="0.35">
      <c r="B288" s="25"/>
      <c r="C288" s="4"/>
      <c r="D288" s="24"/>
      <c r="E288" s="24"/>
      <c r="F288" s="5"/>
      <c r="G288" s="5"/>
      <c r="H288" s="5"/>
    </row>
    <row r="289" spans="2:8" x14ac:dyDescent="0.35">
      <c r="B289" s="25"/>
      <c r="C289" s="4"/>
      <c r="D289" s="24"/>
      <c r="E289" s="24"/>
      <c r="F289" s="5"/>
      <c r="G289" s="5"/>
      <c r="H289" s="5"/>
    </row>
    <row r="290" spans="2:8" x14ac:dyDescent="0.35">
      <c r="B290" s="25"/>
      <c r="C290" s="4"/>
      <c r="D290" s="24"/>
      <c r="E290" s="24"/>
      <c r="F290" s="5"/>
      <c r="G290" s="5"/>
      <c r="H290" s="5"/>
    </row>
    <row r="291" spans="2:8" x14ac:dyDescent="0.35">
      <c r="B291" s="25"/>
      <c r="C291" s="4"/>
      <c r="D291" s="24"/>
      <c r="E291" s="24"/>
      <c r="F291" s="5"/>
      <c r="G291" s="5"/>
      <c r="H291" s="5"/>
    </row>
    <row r="292" spans="2:8" x14ac:dyDescent="0.35">
      <c r="B292" s="25"/>
      <c r="C292" s="4"/>
      <c r="D292" s="24"/>
      <c r="E292" s="24"/>
      <c r="F292" s="5"/>
      <c r="G292" s="5"/>
      <c r="H292" s="5"/>
    </row>
    <row r="293" spans="2:8" x14ac:dyDescent="0.35">
      <c r="B293" s="25"/>
      <c r="C293" s="4"/>
      <c r="D293" s="24"/>
      <c r="E293" s="24"/>
      <c r="F293" s="5"/>
      <c r="G293" s="5"/>
      <c r="H293" s="5"/>
    </row>
    <row r="294" spans="2:8" x14ac:dyDescent="0.35">
      <c r="B294" s="25"/>
      <c r="C294" s="4"/>
      <c r="D294" s="24"/>
      <c r="E294" s="24"/>
      <c r="F294" s="5"/>
      <c r="G294" s="5"/>
      <c r="H294" s="5"/>
    </row>
    <row r="295" spans="2:8" x14ac:dyDescent="0.35">
      <c r="B295" s="25"/>
      <c r="C295" s="4"/>
      <c r="D295" s="24"/>
      <c r="E295" s="24"/>
      <c r="F295" s="5"/>
      <c r="G295" s="5"/>
      <c r="H295" s="5"/>
    </row>
    <row r="296" spans="2:8" x14ac:dyDescent="0.35">
      <c r="B296" s="25"/>
      <c r="C296" s="4"/>
      <c r="D296" s="24"/>
      <c r="E296" s="24"/>
      <c r="F296" s="5"/>
      <c r="G296" s="5"/>
      <c r="H296" s="5"/>
    </row>
    <row r="297" spans="2:8" x14ac:dyDescent="0.35">
      <c r="B297" s="25"/>
      <c r="C297" s="4"/>
      <c r="D297" s="24"/>
      <c r="E297" s="24"/>
      <c r="F297" s="5"/>
      <c r="G297" s="5"/>
      <c r="H297" s="5"/>
    </row>
    <row r="298" spans="2:8" x14ac:dyDescent="0.35">
      <c r="B298" s="25"/>
      <c r="C298" s="4"/>
      <c r="D298" s="24"/>
      <c r="E298" s="24"/>
      <c r="F298" s="5"/>
      <c r="G298" s="5"/>
      <c r="H298" s="5"/>
    </row>
    <row r="299" spans="2:8" x14ac:dyDescent="0.35">
      <c r="B299" s="25"/>
      <c r="C299" s="4"/>
      <c r="D299" s="24"/>
      <c r="E299" s="24"/>
      <c r="F299" s="5"/>
      <c r="G299" s="5"/>
      <c r="H299" s="5"/>
    </row>
    <row r="300" spans="2:8" x14ac:dyDescent="0.35">
      <c r="B300" s="25"/>
      <c r="C300" s="4"/>
      <c r="D300" s="24"/>
      <c r="E300" s="24"/>
      <c r="F300" s="5"/>
      <c r="G300" s="5"/>
      <c r="H300" s="5"/>
    </row>
    <row r="301" spans="2:8" x14ac:dyDescent="0.35">
      <c r="B301" s="25"/>
      <c r="C301" s="4"/>
      <c r="D301" s="24"/>
      <c r="E301" s="24"/>
      <c r="F301" s="5"/>
      <c r="G301" s="5"/>
      <c r="H301" s="5"/>
    </row>
    <row r="302" spans="2:8" x14ac:dyDescent="0.35">
      <c r="B302" s="25"/>
      <c r="C302" s="4"/>
      <c r="D302" s="24"/>
      <c r="E302" s="24"/>
      <c r="F302" s="5"/>
      <c r="G302" s="5"/>
      <c r="H302" s="5"/>
    </row>
    <row r="303" spans="2:8" x14ac:dyDescent="0.35">
      <c r="B303" s="25"/>
      <c r="C303" s="4"/>
      <c r="D303" s="24"/>
      <c r="E303" s="24"/>
      <c r="F303" s="5"/>
      <c r="G303" s="5"/>
      <c r="H303" s="5"/>
    </row>
    <row r="304" spans="2:8" x14ac:dyDescent="0.35">
      <c r="B304" s="25"/>
      <c r="C304" s="4"/>
      <c r="D304" s="24"/>
      <c r="E304" s="24"/>
      <c r="F304" s="5"/>
      <c r="G304" s="5"/>
      <c r="H304" s="5"/>
    </row>
    <row r="305" spans="2:8" x14ac:dyDescent="0.35">
      <c r="B305" s="25"/>
      <c r="C305" s="4"/>
      <c r="D305" s="24"/>
      <c r="E305" s="24"/>
      <c r="F305" s="5"/>
      <c r="G305" s="5"/>
      <c r="H305" s="5"/>
    </row>
    <row r="306" spans="2:8" x14ac:dyDescent="0.35">
      <c r="B306" s="25"/>
      <c r="C306" s="4"/>
      <c r="D306" s="24"/>
      <c r="E306" s="24"/>
      <c r="F306" s="5"/>
      <c r="G306" s="5"/>
      <c r="H306" s="5"/>
    </row>
    <row r="307" spans="2:8" x14ac:dyDescent="0.35">
      <c r="B307" s="25"/>
      <c r="C307" s="4"/>
      <c r="D307" s="24"/>
      <c r="E307" s="24"/>
      <c r="F307" s="5"/>
      <c r="G307" s="5"/>
      <c r="H307" s="5"/>
    </row>
    <row r="308" spans="2:8" x14ac:dyDescent="0.35">
      <c r="B308" s="25"/>
      <c r="C308" s="4"/>
      <c r="D308" s="24"/>
      <c r="E308" s="24"/>
      <c r="F308" s="5"/>
      <c r="G308" s="5"/>
      <c r="H308" s="5"/>
    </row>
    <row r="309" spans="2:8" x14ac:dyDescent="0.35">
      <c r="B309" s="25"/>
      <c r="C309" s="4"/>
      <c r="D309" s="24"/>
      <c r="E309" s="24"/>
      <c r="F309" s="5"/>
      <c r="G309" s="5"/>
      <c r="H309" s="5"/>
    </row>
    <row r="310" spans="2:8" x14ac:dyDescent="0.35">
      <c r="B310" s="25"/>
      <c r="C310" s="4"/>
      <c r="D310" s="24"/>
      <c r="E310" s="24"/>
      <c r="F310" s="5"/>
      <c r="G310" s="5"/>
      <c r="H310" s="5"/>
    </row>
    <row r="311" spans="2:8" x14ac:dyDescent="0.35">
      <c r="B311" s="25"/>
      <c r="C311" s="4"/>
      <c r="D311" s="24"/>
      <c r="E311" s="24"/>
      <c r="F311" s="5"/>
      <c r="G311" s="5"/>
      <c r="H311" s="5"/>
    </row>
    <row r="312" spans="2:8" x14ac:dyDescent="0.35">
      <c r="B312" s="25"/>
      <c r="C312" s="4"/>
      <c r="D312" s="24"/>
      <c r="E312" s="24"/>
      <c r="F312" s="5"/>
      <c r="G312" s="5"/>
      <c r="H312" s="5"/>
    </row>
    <row r="313" spans="2:8" x14ac:dyDescent="0.35">
      <c r="B313" s="25"/>
      <c r="C313" s="4"/>
      <c r="D313" s="24"/>
      <c r="E313" s="24"/>
      <c r="F313" s="5"/>
      <c r="G313" s="5"/>
      <c r="H313" s="5"/>
    </row>
    <row r="314" spans="2:8" x14ac:dyDescent="0.35">
      <c r="B314" s="25"/>
      <c r="C314" s="4"/>
      <c r="D314" s="24"/>
      <c r="E314" s="24"/>
      <c r="F314" s="5"/>
      <c r="G314" s="5"/>
      <c r="H314" s="5"/>
    </row>
    <row r="315" spans="2:8" x14ac:dyDescent="0.35">
      <c r="B315" s="25"/>
      <c r="C315" s="4"/>
      <c r="D315" s="24"/>
      <c r="E315" s="24"/>
      <c r="F315" s="5"/>
      <c r="G315" s="5"/>
      <c r="H315" s="5"/>
    </row>
    <row r="316" spans="2:8" x14ac:dyDescent="0.35">
      <c r="B316" s="25"/>
      <c r="C316" s="4"/>
      <c r="D316" s="24"/>
      <c r="E316" s="24"/>
      <c r="F316" s="5"/>
      <c r="G316" s="5"/>
      <c r="H316" s="5"/>
    </row>
    <row r="317" spans="2:8" x14ac:dyDescent="0.35">
      <c r="B317" s="25"/>
      <c r="C317" s="4"/>
      <c r="D317" s="24"/>
      <c r="E317" s="24"/>
      <c r="F317" s="5"/>
      <c r="G317" s="5"/>
      <c r="H317" s="5"/>
    </row>
    <row r="318" spans="2:8" x14ac:dyDescent="0.35">
      <c r="B318" s="25"/>
      <c r="C318" s="4"/>
      <c r="D318" s="24"/>
      <c r="E318" s="24"/>
      <c r="F318" s="5"/>
      <c r="G318" s="5"/>
      <c r="H318" s="5"/>
    </row>
    <row r="319" spans="2:8" x14ac:dyDescent="0.35">
      <c r="B319" s="25"/>
      <c r="C319" s="4"/>
      <c r="D319" s="24"/>
      <c r="E319" s="24"/>
      <c r="F319" s="5"/>
      <c r="G319" s="5"/>
      <c r="H319" s="5"/>
    </row>
    <row r="320" spans="2:8" x14ac:dyDescent="0.35">
      <c r="B320" s="25"/>
      <c r="C320" s="4"/>
      <c r="D320" s="24"/>
      <c r="E320" s="24"/>
      <c r="F320" s="5"/>
      <c r="G320" s="5"/>
      <c r="H320" s="5"/>
    </row>
    <row r="321" spans="2:8" x14ac:dyDescent="0.35">
      <c r="B321" s="25"/>
      <c r="C321" s="4"/>
      <c r="D321" s="24"/>
      <c r="E321" s="24"/>
      <c r="F321" s="5"/>
      <c r="G321" s="5"/>
      <c r="H321" s="5"/>
    </row>
    <row r="322" spans="2:8" x14ac:dyDescent="0.35">
      <c r="B322" s="25"/>
      <c r="C322" s="4"/>
      <c r="D322" s="24"/>
      <c r="E322" s="24"/>
      <c r="F322" s="5"/>
      <c r="G322" s="5"/>
      <c r="H322" s="5"/>
    </row>
    <row r="323" spans="2:8" x14ac:dyDescent="0.35">
      <c r="B323" s="25"/>
      <c r="C323" s="4"/>
      <c r="D323" s="24"/>
      <c r="E323" s="24"/>
      <c r="F323" s="5"/>
      <c r="G323" s="5"/>
      <c r="H323" s="5"/>
    </row>
    <row r="324" spans="2:8" x14ac:dyDescent="0.35">
      <c r="B324" s="25"/>
      <c r="C324" s="4"/>
      <c r="D324" s="24"/>
      <c r="E324" s="24"/>
      <c r="F324" s="5"/>
      <c r="G324" s="5"/>
      <c r="H324" s="5"/>
    </row>
    <row r="325" spans="2:8" x14ac:dyDescent="0.35">
      <c r="B325" s="25"/>
      <c r="C325" s="4"/>
      <c r="D325" s="24"/>
      <c r="E325" s="24"/>
      <c r="F325" s="5"/>
      <c r="G325" s="5"/>
      <c r="H325" s="5"/>
    </row>
    <row r="326" spans="2:8" x14ac:dyDescent="0.35">
      <c r="B326" s="25"/>
      <c r="C326" s="4"/>
      <c r="D326" s="24"/>
      <c r="E326" s="24"/>
      <c r="F326" s="5"/>
      <c r="G326" s="5"/>
      <c r="H326" s="5"/>
    </row>
    <row r="327" spans="2:8" x14ac:dyDescent="0.35">
      <c r="B327" s="25"/>
      <c r="C327" s="4"/>
      <c r="D327" s="24"/>
      <c r="E327" s="24"/>
      <c r="F327" s="5"/>
      <c r="G327" s="5"/>
      <c r="H327" s="5"/>
    </row>
    <row r="328" spans="2:8" x14ac:dyDescent="0.35">
      <c r="B328" s="25"/>
      <c r="C328" s="4"/>
      <c r="D328" s="24"/>
      <c r="E328" s="24"/>
      <c r="F328" s="5"/>
      <c r="G328" s="5"/>
      <c r="H328" s="5"/>
    </row>
    <row r="329" spans="2:8" x14ac:dyDescent="0.35">
      <c r="B329" s="25"/>
      <c r="C329" s="4"/>
      <c r="D329" s="24"/>
      <c r="E329" s="24"/>
      <c r="F329" s="5"/>
      <c r="G329" s="5"/>
      <c r="H329" s="5"/>
    </row>
    <row r="330" spans="2:8" x14ac:dyDescent="0.35">
      <c r="B330" s="25"/>
      <c r="C330" s="4"/>
      <c r="D330" s="24"/>
      <c r="E330" s="24"/>
      <c r="F330" s="5"/>
      <c r="G330" s="5"/>
      <c r="H330" s="5"/>
    </row>
    <row r="331" spans="2:8" x14ac:dyDescent="0.35">
      <c r="B331" s="25"/>
      <c r="C331" s="4"/>
      <c r="D331" s="24"/>
      <c r="E331" s="24"/>
      <c r="F331" s="5"/>
      <c r="G331" s="5"/>
      <c r="H331" s="5"/>
    </row>
    <row r="332" spans="2:8" x14ac:dyDescent="0.35">
      <c r="B332" s="25"/>
      <c r="C332" s="4"/>
      <c r="D332" s="24"/>
      <c r="E332" s="24"/>
      <c r="F332" s="5"/>
      <c r="G332" s="5"/>
      <c r="H332" s="5"/>
    </row>
    <row r="333" spans="2:8" x14ac:dyDescent="0.35">
      <c r="B333" s="25"/>
      <c r="C333" s="4"/>
      <c r="D333" s="24"/>
      <c r="E333" s="24"/>
      <c r="F333" s="5"/>
      <c r="G333" s="5"/>
      <c r="H333" s="5"/>
    </row>
    <row r="334" spans="2:8" x14ac:dyDescent="0.35">
      <c r="B334" s="25"/>
      <c r="C334" s="4"/>
      <c r="D334" s="24"/>
      <c r="E334" s="24"/>
      <c r="F334" s="5"/>
      <c r="G334" s="5"/>
      <c r="H334" s="5"/>
    </row>
    <row r="335" spans="2:8" x14ac:dyDescent="0.35">
      <c r="B335" s="25"/>
      <c r="C335" s="4"/>
      <c r="D335" s="24"/>
      <c r="E335" s="24"/>
      <c r="F335" s="5"/>
      <c r="G335" s="5"/>
      <c r="H335" s="5"/>
    </row>
    <row r="336" spans="2:8" x14ac:dyDescent="0.35">
      <c r="B336" s="25"/>
      <c r="C336" s="4"/>
      <c r="D336" s="24"/>
      <c r="E336" s="24"/>
      <c r="F336" s="5"/>
      <c r="G336" s="5"/>
      <c r="H336" s="5"/>
    </row>
    <row r="337" spans="2:8" x14ac:dyDescent="0.35">
      <c r="B337" s="25"/>
      <c r="C337" s="4"/>
      <c r="D337" s="24"/>
      <c r="E337" s="24"/>
      <c r="F337" s="5"/>
      <c r="G337" s="5"/>
      <c r="H337" s="5"/>
    </row>
    <row r="338" spans="2:8" x14ac:dyDescent="0.35">
      <c r="B338" s="25"/>
      <c r="C338" s="4"/>
      <c r="D338" s="24"/>
      <c r="E338" s="24"/>
      <c r="F338" s="5"/>
      <c r="G338" s="5"/>
      <c r="H338" s="5"/>
    </row>
    <row r="339" spans="2:8" x14ac:dyDescent="0.35">
      <c r="B339" s="25"/>
      <c r="C339" s="4"/>
      <c r="D339" s="24"/>
      <c r="E339" s="24"/>
      <c r="F339" s="5"/>
      <c r="G339" s="5"/>
      <c r="H339" s="5"/>
    </row>
    <row r="340" spans="2:8" x14ac:dyDescent="0.35">
      <c r="B340" s="25"/>
      <c r="C340" s="4"/>
      <c r="D340" s="24"/>
      <c r="E340" s="24"/>
      <c r="F340" s="5"/>
      <c r="G340" s="5"/>
      <c r="H340" s="5"/>
    </row>
    <row r="341" spans="2:8" x14ac:dyDescent="0.35">
      <c r="B341" s="25"/>
      <c r="C341" s="4"/>
      <c r="D341" s="24"/>
      <c r="E341" s="24"/>
      <c r="F341" s="5"/>
      <c r="G341" s="5"/>
      <c r="H341" s="5"/>
    </row>
    <row r="342" spans="2:8" x14ac:dyDescent="0.35">
      <c r="B342" s="25"/>
      <c r="C342" s="4"/>
      <c r="D342" s="24"/>
      <c r="E342" s="24"/>
      <c r="F342" s="5"/>
      <c r="G342" s="5"/>
      <c r="H342" s="5"/>
    </row>
    <row r="343" spans="2:8" x14ac:dyDescent="0.35">
      <c r="B343" s="25"/>
      <c r="C343" s="4"/>
      <c r="D343" s="24"/>
      <c r="E343" s="24"/>
      <c r="F343" s="5"/>
      <c r="G343" s="5"/>
      <c r="H343" s="5"/>
    </row>
    <row r="344" spans="2:8" x14ac:dyDescent="0.35">
      <c r="B344" s="25"/>
      <c r="C344" s="4"/>
      <c r="D344" s="24"/>
      <c r="E344" s="24"/>
      <c r="F344" s="5"/>
      <c r="G344" s="5"/>
      <c r="H344" s="5"/>
    </row>
    <row r="345" spans="2:8" x14ac:dyDescent="0.35">
      <c r="B345" s="25"/>
      <c r="C345" s="4"/>
      <c r="D345" s="24"/>
      <c r="E345" s="24"/>
      <c r="F345" s="5"/>
      <c r="G345" s="5"/>
      <c r="H345" s="5"/>
    </row>
    <row r="346" spans="2:8" x14ac:dyDescent="0.35">
      <c r="B346" s="25"/>
      <c r="C346" s="4"/>
      <c r="D346" s="24"/>
      <c r="E346" s="24"/>
      <c r="F346" s="5"/>
      <c r="G346" s="5"/>
      <c r="H346" s="5"/>
    </row>
    <row r="347" spans="2:8" x14ac:dyDescent="0.35">
      <c r="B347" s="25"/>
      <c r="C347" s="4"/>
      <c r="D347" s="24"/>
      <c r="E347" s="24"/>
      <c r="F347" s="5"/>
      <c r="G347" s="5"/>
      <c r="H347" s="5"/>
    </row>
    <row r="348" spans="2:8" x14ac:dyDescent="0.35">
      <c r="B348" s="25"/>
      <c r="C348" s="4"/>
      <c r="D348" s="24"/>
      <c r="E348" s="24"/>
      <c r="F348" s="5"/>
      <c r="G348" s="5"/>
      <c r="H348" s="5"/>
    </row>
    <row r="349" spans="2:8" x14ac:dyDescent="0.35">
      <c r="B349" s="25"/>
      <c r="C349" s="4"/>
      <c r="D349" s="24"/>
      <c r="E349" s="24"/>
      <c r="F349" s="5"/>
      <c r="G349" s="5"/>
      <c r="H349" s="5"/>
    </row>
    <row r="350" spans="2:8" x14ac:dyDescent="0.35">
      <c r="B350" s="25"/>
      <c r="C350" s="4"/>
      <c r="D350" s="24"/>
      <c r="E350" s="24"/>
      <c r="F350" s="5"/>
      <c r="G350" s="5"/>
      <c r="H350" s="5"/>
    </row>
    <row r="351" spans="2:8" x14ac:dyDescent="0.35">
      <c r="B351" s="25"/>
      <c r="C351" s="4"/>
      <c r="D351" s="24"/>
      <c r="E351" s="24"/>
      <c r="F351" s="5"/>
      <c r="G351" s="5"/>
      <c r="H351" s="5"/>
    </row>
    <row r="352" spans="2:8" x14ac:dyDescent="0.35">
      <c r="B352" s="25"/>
      <c r="C352" s="4"/>
      <c r="D352" s="24"/>
      <c r="E352" s="24"/>
      <c r="F352" s="5"/>
      <c r="G352" s="5"/>
      <c r="H352" s="5"/>
    </row>
    <row r="353" spans="2:8" x14ac:dyDescent="0.35">
      <c r="B353" s="25"/>
      <c r="C353" s="4"/>
      <c r="D353" s="24"/>
      <c r="E353" s="24"/>
      <c r="F353" s="5"/>
      <c r="G353" s="5"/>
      <c r="H353" s="5"/>
    </row>
    <row r="354" spans="2:8" x14ac:dyDescent="0.35">
      <c r="B354" s="25"/>
      <c r="C354" s="4"/>
      <c r="D354" s="24"/>
      <c r="E354" s="24"/>
      <c r="F354" s="5"/>
      <c r="G354" s="5"/>
      <c r="H354" s="5"/>
    </row>
    <row r="355" spans="2:8" x14ac:dyDescent="0.35">
      <c r="B355" s="25"/>
      <c r="C355" s="4"/>
      <c r="D355" s="24"/>
      <c r="E355" s="24"/>
      <c r="F355" s="5"/>
      <c r="G355" s="5"/>
      <c r="H355" s="5"/>
    </row>
    <row r="356" spans="2:8" x14ac:dyDescent="0.35">
      <c r="B356" s="25"/>
      <c r="C356" s="4"/>
      <c r="D356" s="24"/>
      <c r="E356" s="24"/>
      <c r="F356" s="5"/>
      <c r="G356" s="5"/>
      <c r="H356" s="5"/>
    </row>
    <row r="357" spans="2:8" x14ac:dyDescent="0.35">
      <c r="B357" s="25"/>
      <c r="C357" s="4"/>
      <c r="D357" s="24"/>
      <c r="E357" s="24"/>
      <c r="F357" s="5"/>
      <c r="G357" s="5"/>
      <c r="H357" s="5"/>
    </row>
    <row r="358" spans="2:8" x14ac:dyDescent="0.35">
      <c r="B358" s="25"/>
      <c r="C358" s="4"/>
      <c r="D358" s="24"/>
      <c r="E358" s="24"/>
      <c r="F358" s="5"/>
      <c r="G358" s="5"/>
      <c r="H358" s="5"/>
    </row>
    <row r="359" spans="2:8" x14ac:dyDescent="0.35">
      <c r="B359" s="25"/>
      <c r="C359" s="4"/>
      <c r="D359" s="24"/>
      <c r="E359" s="24"/>
      <c r="F359" s="5"/>
      <c r="G359" s="5"/>
      <c r="H359" s="5"/>
    </row>
    <row r="360" spans="2:8" x14ac:dyDescent="0.35">
      <c r="B360" s="25"/>
      <c r="C360" s="4"/>
      <c r="D360" s="24"/>
      <c r="E360" s="24"/>
      <c r="F360" s="5"/>
      <c r="G360" s="5"/>
      <c r="H360" s="5"/>
    </row>
    <row r="361" spans="2:8" x14ac:dyDescent="0.35">
      <c r="B361" s="25"/>
      <c r="C361" s="4"/>
      <c r="D361" s="24"/>
      <c r="E361" s="24"/>
      <c r="F361" s="5"/>
      <c r="G361" s="5"/>
      <c r="H361" s="5"/>
    </row>
    <row r="362" spans="2:8" x14ac:dyDescent="0.35">
      <c r="B362" s="25"/>
      <c r="C362" s="4"/>
      <c r="D362" s="24"/>
      <c r="E362" s="24"/>
      <c r="F362" s="5"/>
      <c r="G362" s="5"/>
      <c r="H362" s="5"/>
    </row>
    <row r="363" spans="2:8" x14ac:dyDescent="0.35">
      <c r="B363" s="25"/>
      <c r="C363" s="4"/>
      <c r="D363" s="24"/>
      <c r="E363" s="24"/>
      <c r="F363" s="5"/>
      <c r="G363" s="5"/>
      <c r="H363" s="5"/>
    </row>
    <row r="364" spans="2:8" x14ac:dyDescent="0.35">
      <c r="B364" s="25"/>
      <c r="C364" s="4"/>
      <c r="D364" s="24"/>
      <c r="E364" s="24"/>
      <c r="F364" s="5"/>
      <c r="G364" s="5"/>
      <c r="H364" s="5"/>
    </row>
    <row r="365" spans="2:8" x14ac:dyDescent="0.35">
      <c r="B365" s="25"/>
      <c r="C365" s="4"/>
      <c r="D365" s="24"/>
      <c r="E365" s="24"/>
      <c r="F365" s="5"/>
      <c r="G365" s="5"/>
      <c r="H365" s="5"/>
    </row>
    <row r="366" spans="2:8" x14ac:dyDescent="0.35">
      <c r="B366" s="25"/>
      <c r="C366" s="4"/>
      <c r="D366" s="24"/>
      <c r="E366" s="24"/>
      <c r="F366" s="5"/>
      <c r="G366" s="5"/>
      <c r="H366" s="5"/>
    </row>
    <row r="367" spans="2:8" x14ac:dyDescent="0.35">
      <c r="B367" s="25"/>
      <c r="C367" s="4"/>
      <c r="D367" s="24"/>
      <c r="E367" s="24"/>
      <c r="F367" s="5"/>
      <c r="G367" s="5"/>
      <c r="H367" s="5"/>
    </row>
    <row r="368" spans="2:8" x14ac:dyDescent="0.35">
      <c r="B368" s="25"/>
      <c r="C368" s="4"/>
      <c r="D368" s="24"/>
      <c r="E368" s="24"/>
      <c r="F368" s="5"/>
      <c r="G368" s="5"/>
      <c r="H368" s="5"/>
    </row>
    <row r="369" spans="2:8" x14ac:dyDescent="0.35">
      <c r="B369" s="25"/>
      <c r="C369" s="4"/>
      <c r="D369" s="24"/>
      <c r="E369" s="24"/>
      <c r="F369" s="5"/>
      <c r="G369" s="5"/>
      <c r="H369" s="5"/>
    </row>
    <row r="370" spans="2:8" x14ac:dyDescent="0.35">
      <c r="B370" s="25"/>
      <c r="C370" s="4"/>
      <c r="D370" s="24"/>
      <c r="E370" s="24"/>
      <c r="F370" s="5"/>
      <c r="G370" s="5"/>
      <c r="H370" s="5"/>
    </row>
    <row r="371" spans="2:8" x14ac:dyDescent="0.35">
      <c r="B371" s="25"/>
      <c r="C371" s="4"/>
      <c r="D371" s="24"/>
      <c r="E371" s="24"/>
      <c r="F371" s="5"/>
      <c r="G371" s="5"/>
      <c r="H371" s="5"/>
    </row>
    <row r="372" spans="2:8" x14ac:dyDescent="0.35">
      <c r="B372" s="25"/>
      <c r="C372" s="4"/>
      <c r="D372" s="24"/>
      <c r="E372" s="24"/>
      <c r="F372" s="5"/>
      <c r="G372" s="5"/>
      <c r="H372" s="5"/>
    </row>
    <row r="373" spans="2:8" x14ac:dyDescent="0.35">
      <c r="B373" s="25"/>
      <c r="C373" s="4"/>
      <c r="D373" s="24"/>
      <c r="E373" s="24"/>
      <c r="F373" s="5"/>
      <c r="G373" s="5"/>
      <c r="H373" s="5"/>
    </row>
    <row r="374" spans="2:8" x14ac:dyDescent="0.35">
      <c r="B374" s="25"/>
      <c r="C374" s="4"/>
      <c r="D374" s="24"/>
      <c r="E374" s="24"/>
      <c r="F374" s="5"/>
      <c r="G374" s="5"/>
      <c r="H374" s="5"/>
    </row>
    <row r="375" spans="2:8" x14ac:dyDescent="0.35">
      <c r="B375" s="25"/>
      <c r="C375" s="4"/>
      <c r="D375" s="24"/>
      <c r="E375" s="24"/>
      <c r="F375" s="5"/>
      <c r="G375" s="5"/>
      <c r="H375" s="5"/>
    </row>
    <row r="376" spans="2:8" x14ac:dyDescent="0.35">
      <c r="B376" s="25"/>
      <c r="C376" s="4"/>
      <c r="D376" s="24"/>
      <c r="E376" s="24"/>
      <c r="F376" s="5"/>
      <c r="G376" s="5"/>
      <c r="H376" s="5"/>
    </row>
    <row r="377" spans="2:8" x14ac:dyDescent="0.35">
      <c r="B377" s="25"/>
      <c r="C377" s="4"/>
      <c r="D377" s="24"/>
      <c r="E377" s="24"/>
      <c r="F377" s="5"/>
      <c r="G377" s="5"/>
      <c r="H377" s="5"/>
    </row>
    <row r="378" spans="2:8" x14ac:dyDescent="0.35">
      <c r="B378" s="25"/>
      <c r="C378" s="4"/>
      <c r="D378" s="24"/>
      <c r="E378" s="24"/>
      <c r="F378" s="5"/>
      <c r="G378" s="5"/>
      <c r="H378" s="5"/>
    </row>
    <row r="379" spans="2:8" x14ac:dyDescent="0.35">
      <c r="B379" s="25"/>
      <c r="C379" s="4"/>
      <c r="D379" s="24"/>
      <c r="E379" s="24"/>
      <c r="F379" s="5"/>
      <c r="G379" s="5"/>
      <c r="H379" s="5"/>
    </row>
    <row r="380" spans="2:8" x14ac:dyDescent="0.35">
      <c r="B380" s="25"/>
      <c r="C380" s="4"/>
      <c r="D380" s="24"/>
      <c r="E380" s="24"/>
      <c r="F380" s="5"/>
      <c r="G380" s="5"/>
      <c r="H380" s="5"/>
    </row>
    <row r="381" spans="2:8" x14ac:dyDescent="0.35">
      <c r="B381" s="25"/>
      <c r="C381" s="4"/>
      <c r="D381" s="24"/>
      <c r="E381" s="24"/>
      <c r="F381" s="5"/>
      <c r="G381" s="5"/>
      <c r="H381" s="5"/>
    </row>
    <row r="382" spans="2:8" x14ac:dyDescent="0.35">
      <c r="B382" s="25"/>
      <c r="C382" s="4"/>
      <c r="D382" s="24"/>
      <c r="E382" s="24"/>
      <c r="F382" s="5"/>
      <c r="G382" s="5"/>
      <c r="H382" s="5"/>
    </row>
    <row r="383" spans="2:8" x14ac:dyDescent="0.35">
      <c r="B383" s="25"/>
      <c r="C383" s="4"/>
      <c r="D383" s="24"/>
      <c r="E383" s="24"/>
      <c r="F383" s="5"/>
      <c r="G383" s="5"/>
      <c r="H383" s="5"/>
    </row>
    <row r="384" spans="2:8" x14ac:dyDescent="0.35">
      <c r="B384" s="25"/>
      <c r="C384" s="4"/>
      <c r="D384" s="24"/>
      <c r="E384" s="24"/>
      <c r="F384" s="5"/>
      <c r="G384" s="5"/>
      <c r="H384" s="5"/>
    </row>
    <row r="385" spans="2:8" x14ac:dyDescent="0.35">
      <c r="B385" s="25"/>
      <c r="C385" s="4"/>
      <c r="D385" s="24"/>
      <c r="E385" s="24"/>
      <c r="F385" s="5"/>
      <c r="G385" s="5"/>
      <c r="H385" s="5"/>
    </row>
    <row r="386" spans="2:8" x14ac:dyDescent="0.35">
      <c r="B386" s="25"/>
      <c r="C386" s="4"/>
      <c r="D386" s="24"/>
      <c r="E386" s="24"/>
      <c r="F386" s="5"/>
      <c r="G386" s="5"/>
      <c r="H386" s="5"/>
    </row>
    <row r="387" spans="2:8" x14ac:dyDescent="0.35">
      <c r="B387" s="25"/>
      <c r="C387" s="4"/>
      <c r="D387" s="24"/>
      <c r="E387" s="24"/>
      <c r="F387" s="5"/>
      <c r="G387" s="5"/>
      <c r="H387" s="5"/>
    </row>
    <row r="388" spans="2:8" x14ac:dyDescent="0.35">
      <c r="B388" s="25"/>
      <c r="C388" s="4"/>
      <c r="D388" s="24"/>
      <c r="E388" s="24"/>
      <c r="F388" s="5"/>
      <c r="G388" s="5"/>
      <c r="H388" s="5"/>
    </row>
    <row r="389" spans="2:8" x14ac:dyDescent="0.35">
      <c r="B389" s="25"/>
      <c r="C389" s="4"/>
      <c r="D389" s="24"/>
      <c r="E389" s="24"/>
      <c r="F389" s="5"/>
      <c r="G389" s="5"/>
      <c r="H389" s="5"/>
    </row>
    <row r="390" spans="2:8" x14ac:dyDescent="0.35">
      <c r="B390" s="25"/>
      <c r="C390" s="4"/>
      <c r="D390" s="24"/>
      <c r="E390" s="24"/>
      <c r="F390" s="5"/>
      <c r="G390" s="5"/>
      <c r="H390" s="5"/>
    </row>
    <row r="391" spans="2:8" x14ac:dyDescent="0.35">
      <c r="B391" s="25"/>
      <c r="C391" s="4"/>
      <c r="D391" s="24"/>
      <c r="E391" s="24"/>
      <c r="F391" s="5"/>
      <c r="G391" s="5"/>
      <c r="H391" s="5"/>
    </row>
    <row r="392" spans="2:8" x14ac:dyDescent="0.35">
      <c r="B392" s="25"/>
      <c r="C392" s="4"/>
      <c r="D392" s="24"/>
      <c r="E392" s="24"/>
      <c r="F392" s="5"/>
      <c r="G392" s="5"/>
      <c r="H392" s="5"/>
    </row>
    <row r="393" spans="2:8" x14ac:dyDescent="0.35">
      <c r="B393" s="25"/>
      <c r="C393" s="4"/>
      <c r="D393" s="24"/>
      <c r="E393" s="24"/>
      <c r="F393" s="5"/>
      <c r="G393" s="5"/>
      <c r="H393" s="5"/>
    </row>
    <row r="394" spans="2:8" x14ac:dyDescent="0.35">
      <c r="B394" s="25"/>
      <c r="C394" s="4"/>
      <c r="D394" s="24"/>
      <c r="E394" s="24"/>
      <c r="F394" s="5"/>
      <c r="G394" s="5"/>
      <c r="H394" s="5"/>
    </row>
    <row r="395" spans="2:8" x14ac:dyDescent="0.35">
      <c r="B395" s="25"/>
      <c r="C395" s="4"/>
      <c r="D395" s="24"/>
      <c r="E395" s="24"/>
      <c r="F395" s="5"/>
      <c r="G395" s="5"/>
      <c r="H395" s="5"/>
    </row>
    <row r="396" spans="2:8" x14ac:dyDescent="0.35">
      <c r="B396" s="25"/>
      <c r="C396" s="4"/>
      <c r="D396" s="24"/>
      <c r="E396" s="24"/>
      <c r="F396" s="5"/>
      <c r="G396" s="5"/>
      <c r="H396" s="5"/>
    </row>
    <row r="397" spans="2:8" x14ac:dyDescent="0.35">
      <c r="B397" s="25"/>
      <c r="C397" s="4"/>
      <c r="D397" s="24"/>
      <c r="E397" s="24"/>
      <c r="F397" s="5"/>
      <c r="G397" s="5"/>
      <c r="H397" s="5"/>
    </row>
    <row r="398" spans="2:8" x14ac:dyDescent="0.35">
      <c r="B398" s="25"/>
      <c r="C398" s="4"/>
      <c r="D398" s="24"/>
      <c r="E398" s="24"/>
      <c r="F398" s="5"/>
      <c r="G398" s="5"/>
      <c r="H398" s="5"/>
    </row>
    <row r="399" spans="2:8" x14ac:dyDescent="0.35">
      <c r="B399" s="25"/>
      <c r="C399" s="4"/>
      <c r="D399" s="24"/>
      <c r="E399" s="24"/>
      <c r="F399" s="5"/>
      <c r="G399" s="5"/>
      <c r="H399" s="5"/>
    </row>
    <row r="400" spans="2:8" x14ac:dyDescent="0.35">
      <c r="B400" s="25"/>
      <c r="C400" s="4"/>
      <c r="D400" s="24"/>
      <c r="E400" s="24"/>
      <c r="F400" s="5"/>
      <c r="G400" s="5"/>
      <c r="H400" s="5"/>
    </row>
    <row r="401" spans="2:8" x14ac:dyDescent="0.35">
      <c r="B401" s="25"/>
      <c r="C401" s="4"/>
      <c r="D401" s="24"/>
      <c r="E401" s="24"/>
      <c r="F401" s="5"/>
      <c r="G401" s="5"/>
      <c r="H401" s="5"/>
    </row>
    <row r="402" spans="2:8" x14ac:dyDescent="0.35">
      <c r="B402" s="25"/>
      <c r="C402" s="4"/>
      <c r="D402" s="24"/>
      <c r="E402" s="24"/>
      <c r="F402" s="5"/>
      <c r="G402" s="5"/>
      <c r="H402" s="5"/>
    </row>
    <row r="403" spans="2:8" x14ac:dyDescent="0.35">
      <c r="B403" s="25"/>
      <c r="C403" s="4"/>
      <c r="D403" s="24"/>
      <c r="E403" s="24"/>
      <c r="F403" s="5"/>
      <c r="G403" s="5"/>
      <c r="H403" s="5"/>
    </row>
    <row r="404" spans="2:8" x14ac:dyDescent="0.35">
      <c r="B404" s="25"/>
      <c r="C404" s="4"/>
      <c r="D404" s="24"/>
      <c r="E404" s="24"/>
      <c r="F404" s="5"/>
      <c r="G404" s="5"/>
      <c r="H404" s="5"/>
    </row>
    <row r="405" spans="2:8" x14ac:dyDescent="0.35">
      <c r="B405" s="25"/>
      <c r="C405" s="4"/>
      <c r="D405" s="24"/>
      <c r="E405" s="24"/>
      <c r="F405" s="5"/>
      <c r="G405" s="5"/>
      <c r="H405" s="5"/>
    </row>
    <row r="406" spans="2:8" x14ac:dyDescent="0.35">
      <c r="B406" s="25"/>
      <c r="C406" s="4"/>
      <c r="D406" s="24"/>
      <c r="E406" s="24"/>
      <c r="F406" s="5"/>
      <c r="G406" s="5"/>
      <c r="H406" s="5"/>
    </row>
    <row r="407" spans="2:8" x14ac:dyDescent="0.35">
      <c r="B407" s="25"/>
      <c r="C407" s="4"/>
      <c r="D407" s="24"/>
      <c r="E407" s="24"/>
      <c r="F407" s="5"/>
      <c r="G407" s="5"/>
      <c r="H407" s="5"/>
    </row>
    <row r="408" spans="2:8" x14ac:dyDescent="0.35">
      <c r="B408" s="25"/>
      <c r="C408" s="4"/>
      <c r="D408" s="24"/>
      <c r="E408" s="24"/>
      <c r="F408" s="5"/>
      <c r="G408" s="5"/>
      <c r="H408" s="5"/>
    </row>
    <row r="409" spans="2:8" x14ac:dyDescent="0.35">
      <c r="B409" s="25"/>
      <c r="C409" s="4"/>
      <c r="D409" s="24"/>
      <c r="E409" s="24"/>
      <c r="F409" s="5"/>
      <c r="G409" s="5"/>
      <c r="H409" s="5"/>
    </row>
    <row r="410" spans="2:8" x14ac:dyDescent="0.35">
      <c r="B410" s="25"/>
      <c r="C410" s="4"/>
      <c r="D410" s="24"/>
      <c r="E410" s="24"/>
      <c r="F410" s="5"/>
      <c r="G410" s="5"/>
      <c r="H410" s="5"/>
    </row>
    <row r="411" spans="2:8" x14ac:dyDescent="0.35">
      <c r="B411" s="25"/>
      <c r="C411" s="4"/>
      <c r="D411" s="24"/>
      <c r="E411" s="24"/>
      <c r="F411" s="5"/>
      <c r="G411" s="5"/>
      <c r="H411" s="5"/>
    </row>
    <row r="412" spans="2:8" x14ac:dyDescent="0.35">
      <c r="B412" s="25"/>
      <c r="C412" s="4"/>
      <c r="D412" s="24"/>
      <c r="E412" s="24"/>
      <c r="F412" s="5"/>
      <c r="G412" s="5"/>
      <c r="H412" s="5"/>
    </row>
    <row r="413" spans="2:8" x14ac:dyDescent="0.35">
      <c r="B413" s="25"/>
      <c r="C413" s="4"/>
      <c r="D413" s="24"/>
      <c r="E413" s="24"/>
      <c r="F413" s="5"/>
      <c r="G413" s="5"/>
      <c r="H413" s="5"/>
    </row>
    <row r="414" spans="2:8" x14ac:dyDescent="0.35">
      <c r="B414" s="25"/>
      <c r="C414" s="4"/>
      <c r="D414" s="24"/>
      <c r="E414" s="24"/>
      <c r="F414" s="5"/>
      <c r="G414" s="5"/>
      <c r="H414" s="5"/>
    </row>
    <row r="415" spans="2:8" x14ac:dyDescent="0.35">
      <c r="B415" s="25"/>
      <c r="C415" s="4"/>
      <c r="D415" s="24"/>
      <c r="E415" s="24"/>
      <c r="F415" s="5"/>
      <c r="G415" s="5"/>
      <c r="H415" s="5"/>
    </row>
    <row r="416" spans="2:8" x14ac:dyDescent="0.35">
      <c r="B416" s="25"/>
      <c r="C416" s="4"/>
      <c r="D416" s="24"/>
      <c r="E416" s="24"/>
      <c r="F416" s="5"/>
      <c r="G416" s="5"/>
      <c r="H416" s="5"/>
    </row>
    <row r="417" spans="2:8" x14ac:dyDescent="0.35">
      <c r="B417" s="25"/>
      <c r="C417" s="4"/>
      <c r="D417" s="24"/>
      <c r="E417" s="24"/>
      <c r="F417" s="5"/>
      <c r="G417" s="5"/>
      <c r="H417" s="5"/>
    </row>
    <row r="418" spans="2:8" x14ac:dyDescent="0.35">
      <c r="B418" s="25"/>
      <c r="C418" s="4"/>
      <c r="D418" s="24"/>
      <c r="E418" s="24"/>
      <c r="F418" s="5"/>
      <c r="G418" s="5"/>
      <c r="H418" s="5"/>
    </row>
    <row r="419" spans="2:8" x14ac:dyDescent="0.35">
      <c r="B419" s="25"/>
      <c r="C419" s="4"/>
      <c r="D419" s="24"/>
      <c r="E419" s="24"/>
      <c r="F419" s="5"/>
      <c r="G419" s="5"/>
      <c r="H419" s="5"/>
    </row>
    <row r="420" spans="2:8" x14ac:dyDescent="0.35">
      <c r="B420" s="25"/>
      <c r="C420" s="4"/>
      <c r="D420" s="24"/>
      <c r="E420" s="24"/>
      <c r="F420" s="5"/>
      <c r="G420" s="5"/>
      <c r="H420" s="5"/>
    </row>
    <row r="421" spans="2:8" x14ac:dyDescent="0.35">
      <c r="B421" s="25"/>
      <c r="C421" s="4"/>
      <c r="D421" s="24"/>
      <c r="E421" s="24"/>
      <c r="F421" s="5"/>
      <c r="G421" s="5"/>
      <c r="H421" s="5"/>
    </row>
    <row r="422" spans="2:8" x14ac:dyDescent="0.35">
      <c r="B422" s="25"/>
      <c r="C422" s="4"/>
      <c r="D422" s="24"/>
      <c r="E422" s="24"/>
      <c r="F422" s="5"/>
      <c r="G422" s="5"/>
      <c r="H422" s="5"/>
    </row>
    <row r="423" spans="2:8" x14ac:dyDescent="0.35">
      <c r="B423" s="25"/>
      <c r="C423" s="4"/>
      <c r="D423" s="24"/>
      <c r="E423" s="24"/>
      <c r="F423" s="5"/>
      <c r="G423" s="5"/>
      <c r="H423" s="5"/>
    </row>
    <row r="424" spans="2:8" x14ac:dyDescent="0.35">
      <c r="B424" s="25"/>
      <c r="C424" s="4"/>
      <c r="D424" s="24"/>
      <c r="E424" s="24"/>
      <c r="F424" s="5"/>
      <c r="G424" s="5"/>
      <c r="H424" s="5"/>
    </row>
    <row r="425" spans="2:8" x14ac:dyDescent="0.35">
      <c r="B425" s="25"/>
      <c r="C425" s="4"/>
      <c r="D425" s="24"/>
      <c r="E425" s="24"/>
      <c r="F425" s="5"/>
      <c r="G425" s="5"/>
      <c r="H425" s="5"/>
    </row>
    <row r="426" spans="2:8" x14ac:dyDescent="0.35">
      <c r="B426" s="25"/>
      <c r="C426" s="4"/>
      <c r="D426" s="24"/>
      <c r="E426" s="24"/>
      <c r="F426" s="5"/>
      <c r="G426" s="5"/>
      <c r="H426" s="5"/>
    </row>
    <row r="427" spans="2:8" x14ac:dyDescent="0.35">
      <c r="B427" s="25"/>
      <c r="C427" s="4"/>
      <c r="D427" s="24"/>
      <c r="E427" s="24"/>
      <c r="F427" s="5"/>
      <c r="G427" s="5"/>
      <c r="H427" s="5"/>
    </row>
    <row r="428" spans="2:8" x14ac:dyDescent="0.35">
      <c r="B428" s="25"/>
      <c r="C428" s="4"/>
      <c r="D428" s="24"/>
      <c r="E428" s="24"/>
      <c r="F428" s="5"/>
      <c r="G428" s="5"/>
      <c r="H428" s="5"/>
    </row>
    <row r="429" spans="2:8" x14ac:dyDescent="0.35">
      <c r="B429" s="25"/>
      <c r="C429" s="4"/>
      <c r="D429" s="24"/>
      <c r="E429" s="24"/>
      <c r="F429" s="5"/>
      <c r="G429" s="5"/>
      <c r="H429" s="5"/>
    </row>
    <row r="430" spans="2:8" x14ac:dyDescent="0.35">
      <c r="B430" s="25"/>
      <c r="C430" s="4"/>
      <c r="D430" s="24"/>
      <c r="E430" s="24"/>
      <c r="F430" s="5"/>
      <c r="G430" s="5"/>
      <c r="H430" s="5"/>
    </row>
    <row r="431" spans="2:8" x14ac:dyDescent="0.35">
      <c r="B431" s="25"/>
      <c r="C431" s="4"/>
      <c r="D431" s="24"/>
      <c r="E431" s="24"/>
      <c r="F431" s="5"/>
      <c r="G431" s="5"/>
      <c r="H431" s="5"/>
    </row>
    <row r="432" spans="2:8" x14ac:dyDescent="0.35">
      <c r="B432" s="25"/>
      <c r="C432" s="4"/>
      <c r="D432" s="24"/>
      <c r="E432" s="24"/>
      <c r="F432" s="5"/>
      <c r="G432" s="5"/>
      <c r="H432" s="5"/>
    </row>
    <row r="433" spans="2:8" x14ac:dyDescent="0.35">
      <c r="B433" s="25"/>
      <c r="C433" s="4"/>
      <c r="D433" s="24"/>
      <c r="E433" s="24"/>
      <c r="F433" s="5"/>
      <c r="G433" s="5"/>
      <c r="H433" s="5"/>
    </row>
    <row r="434" spans="2:8" x14ac:dyDescent="0.35">
      <c r="B434" s="25"/>
      <c r="C434" s="4"/>
      <c r="D434" s="24"/>
      <c r="E434" s="24"/>
      <c r="F434" s="5"/>
      <c r="G434" s="5"/>
      <c r="H434" s="5"/>
    </row>
    <row r="435" spans="2:8" x14ac:dyDescent="0.35">
      <c r="B435" s="25"/>
      <c r="C435" s="4"/>
      <c r="D435" s="24"/>
      <c r="E435" s="24"/>
      <c r="F435" s="5"/>
      <c r="G435" s="5"/>
      <c r="H435" s="5"/>
    </row>
    <row r="436" spans="2:8" x14ac:dyDescent="0.35">
      <c r="B436" s="25"/>
      <c r="C436" s="4"/>
      <c r="D436" s="24"/>
      <c r="E436" s="24"/>
      <c r="F436" s="5"/>
      <c r="G436" s="5"/>
      <c r="H436" s="5"/>
    </row>
    <row r="437" spans="2:8" x14ac:dyDescent="0.35">
      <c r="B437" s="25"/>
      <c r="C437" s="4"/>
      <c r="D437" s="24"/>
      <c r="E437" s="24"/>
      <c r="F437" s="5"/>
      <c r="G437" s="5"/>
      <c r="H437" s="5"/>
    </row>
    <row r="438" spans="2:8" x14ac:dyDescent="0.35">
      <c r="B438" s="25"/>
      <c r="C438" s="4"/>
      <c r="D438" s="24"/>
      <c r="E438" s="24"/>
      <c r="F438" s="5"/>
      <c r="G438" s="5"/>
      <c r="H438" s="5"/>
    </row>
    <row r="439" spans="2:8" x14ac:dyDescent="0.35">
      <c r="B439" s="25"/>
      <c r="C439" s="4"/>
      <c r="D439" s="24"/>
      <c r="E439" s="24"/>
      <c r="F439" s="5"/>
      <c r="G439" s="5"/>
      <c r="H439" s="5"/>
    </row>
    <row r="440" spans="2:8" x14ac:dyDescent="0.35">
      <c r="B440" s="25"/>
      <c r="C440" s="4"/>
      <c r="D440" s="24"/>
      <c r="E440" s="24"/>
      <c r="F440" s="5"/>
      <c r="G440" s="5"/>
      <c r="H440" s="5"/>
    </row>
    <row r="441" spans="2:8" x14ac:dyDescent="0.35">
      <c r="B441" s="25"/>
      <c r="C441" s="4"/>
      <c r="D441" s="24"/>
      <c r="E441" s="24"/>
      <c r="F441" s="5"/>
      <c r="G441" s="5"/>
      <c r="H441" s="5"/>
    </row>
    <row r="442" spans="2:8" x14ac:dyDescent="0.35">
      <c r="B442" s="25"/>
      <c r="C442" s="4"/>
      <c r="D442" s="24"/>
      <c r="E442" s="24"/>
      <c r="F442" s="5"/>
      <c r="G442" s="5"/>
      <c r="H442" s="5"/>
    </row>
    <row r="443" spans="2:8" x14ac:dyDescent="0.35">
      <c r="B443" s="25"/>
      <c r="C443" s="4"/>
      <c r="D443" s="24"/>
      <c r="E443" s="24"/>
      <c r="F443" s="5"/>
      <c r="G443" s="5"/>
      <c r="H443" s="5"/>
    </row>
    <row r="444" spans="2:8" x14ac:dyDescent="0.35">
      <c r="B444" s="25"/>
      <c r="C444" s="4"/>
      <c r="D444" s="24"/>
      <c r="E444" s="24"/>
      <c r="F444" s="5"/>
      <c r="G444" s="5"/>
      <c r="H444" s="5"/>
    </row>
    <row r="445" spans="2:8" x14ac:dyDescent="0.35">
      <c r="B445" s="25"/>
      <c r="C445" s="4"/>
      <c r="D445" s="24"/>
      <c r="E445" s="24"/>
      <c r="F445" s="5"/>
      <c r="G445" s="5"/>
      <c r="H445" s="5"/>
    </row>
    <row r="446" spans="2:8" x14ac:dyDescent="0.35">
      <c r="B446" s="25"/>
      <c r="C446" s="4"/>
      <c r="D446" s="24"/>
      <c r="E446" s="24"/>
      <c r="F446" s="5"/>
      <c r="G446" s="5"/>
      <c r="H446" s="5"/>
    </row>
    <row r="447" spans="2:8" x14ac:dyDescent="0.35">
      <c r="B447" s="25"/>
      <c r="C447" s="4"/>
      <c r="D447" s="24"/>
      <c r="E447" s="24"/>
      <c r="F447" s="5"/>
      <c r="G447" s="5"/>
      <c r="H447" s="5"/>
    </row>
    <row r="448" spans="2:8" x14ac:dyDescent="0.35">
      <c r="B448" s="25"/>
      <c r="C448" s="4"/>
      <c r="D448" s="24"/>
      <c r="E448" s="24"/>
      <c r="F448" s="5"/>
      <c r="G448" s="5"/>
      <c r="H448" s="5"/>
    </row>
    <row r="449" spans="2:8" x14ac:dyDescent="0.35">
      <c r="B449" s="25"/>
      <c r="C449" s="4"/>
      <c r="D449" s="24"/>
      <c r="E449" s="24"/>
      <c r="F449" s="5"/>
      <c r="G449" s="5"/>
      <c r="H449" s="5"/>
    </row>
    <row r="450" spans="2:8" x14ac:dyDescent="0.35">
      <c r="B450" s="25"/>
      <c r="C450" s="4"/>
      <c r="D450" s="24"/>
      <c r="E450" s="24"/>
      <c r="F450" s="5"/>
      <c r="G450" s="5"/>
      <c r="H450" s="5"/>
    </row>
    <row r="451" spans="2:8" x14ac:dyDescent="0.35">
      <c r="B451" s="25"/>
      <c r="C451" s="4"/>
      <c r="D451" s="24"/>
      <c r="E451" s="24"/>
      <c r="F451" s="5"/>
      <c r="G451" s="5"/>
      <c r="H451" s="5"/>
    </row>
    <row r="452" spans="2:8" x14ac:dyDescent="0.35">
      <c r="B452" s="25"/>
      <c r="C452" s="4"/>
      <c r="D452" s="24"/>
      <c r="E452" s="24"/>
      <c r="F452" s="5"/>
      <c r="G452" s="5"/>
      <c r="H452" s="5"/>
    </row>
    <row r="453" spans="2:8" x14ac:dyDescent="0.35">
      <c r="B453" s="25"/>
      <c r="C453" s="4"/>
      <c r="D453" s="24"/>
      <c r="E453" s="24"/>
      <c r="F453" s="5"/>
      <c r="G453" s="5"/>
      <c r="H453" s="5"/>
    </row>
    <row r="454" spans="2:8" x14ac:dyDescent="0.35">
      <c r="B454" s="25"/>
      <c r="C454" s="4"/>
      <c r="D454" s="24"/>
      <c r="E454" s="24"/>
      <c r="F454" s="5"/>
      <c r="G454" s="5"/>
      <c r="H454" s="5"/>
    </row>
    <row r="455" spans="2:8" x14ac:dyDescent="0.35">
      <c r="B455" s="25"/>
      <c r="C455" s="4"/>
      <c r="D455" s="24"/>
      <c r="E455" s="24"/>
      <c r="F455" s="5"/>
      <c r="G455" s="5"/>
      <c r="H455" s="5"/>
    </row>
    <row r="456" spans="2:8" x14ac:dyDescent="0.35">
      <c r="B456" s="25"/>
      <c r="C456" s="4"/>
      <c r="D456" s="24"/>
      <c r="E456" s="24"/>
      <c r="F456" s="5"/>
      <c r="G456" s="5"/>
      <c r="H456" s="5"/>
    </row>
    <row r="457" spans="2:8" x14ac:dyDescent="0.35">
      <c r="B457" s="25"/>
      <c r="C457" s="4"/>
      <c r="D457" s="24"/>
      <c r="E457" s="24"/>
      <c r="F457" s="5"/>
      <c r="G457" s="5"/>
      <c r="H457" s="5"/>
    </row>
    <row r="458" spans="2:8" x14ac:dyDescent="0.35">
      <c r="B458" s="25"/>
      <c r="C458" s="4"/>
      <c r="D458" s="24"/>
      <c r="E458" s="24"/>
      <c r="F458" s="5"/>
      <c r="G458" s="5"/>
      <c r="H458" s="5"/>
    </row>
    <row r="459" spans="2:8" x14ac:dyDescent="0.35">
      <c r="B459" s="25"/>
      <c r="C459" s="4"/>
      <c r="D459" s="24"/>
      <c r="E459" s="24"/>
      <c r="F459" s="5"/>
      <c r="G459" s="5"/>
      <c r="H459" s="5"/>
    </row>
    <row r="460" spans="2:8" x14ac:dyDescent="0.35">
      <c r="B460" s="25"/>
      <c r="C460" s="4"/>
      <c r="D460" s="24"/>
      <c r="E460" s="24"/>
      <c r="F460" s="5"/>
      <c r="G460" s="5"/>
      <c r="H460" s="5"/>
    </row>
    <row r="461" spans="2:8" x14ac:dyDescent="0.35">
      <c r="B461" s="25"/>
      <c r="C461" s="4"/>
      <c r="D461" s="24"/>
      <c r="E461" s="24"/>
      <c r="F461" s="5"/>
      <c r="G461" s="5"/>
      <c r="H461" s="5"/>
    </row>
    <row r="462" spans="2:8" x14ac:dyDescent="0.35">
      <c r="B462" s="25"/>
      <c r="C462" s="4"/>
      <c r="D462" s="24"/>
      <c r="E462" s="24"/>
      <c r="F462" s="5"/>
      <c r="G462" s="5"/>
      <c r="H462" s="5"/>
    </row>
    <row r="463" spans="2:8" x14ac:dyDescent="0.35">
      <c r="B463" s="25"/>
      <c r="C463" s="4"/>
      <c r="D463" s="24"/>
      <c r="E463" s="24"/>
      <c r="F463" s="5"/>
      <c r="G463" s="5"/>
      <c r="H463" s="5"/>
    </row>
    <row r="464" spans="2:8" x14ac:dyDescent="0.35">
      <c r="B464" s="25"/>
      <c r="C464" s="4"/>
      <c r="D464" s="24"/>
      <c r="E464" s="24"/>
      <c r="F464" s="5"/>
      <c r="G464" s="5"/>
      <c r="H464" s="5"/>
    </row>
    <row r="465" spans="2:8" x14ac:dyDescent="0.35">
      <c r="B465" s="25"/>
      <c r="C465" s="4"/>
      <c r="D465" s="24"/>
      <c r="E465" s="24"/>
      <c r="F465" s="5"/>
      <c r="G465" s="5"/>
      <c r="H465" s="5"/>
    </row>
    <row r="466" spans="2:8" x14ac:dyDescent="0.35">
      <c r="B466" s="25"/>
      <c r="C466" s="4"/>
      <c r="D466" s="24"/>
      <c r="E466" s="24"/>
      <c r="F466" s="5"/>
      <c r="G466" s="5"/>
      <c r="H466" s="5"/>
    </row>
    <row r="467" spans="2:8" x14ac:dyDescent="0.35">
      <c r="B467" s="25"/>
      <c r="C467" s="4"/>
      <c r="D467" s="24"/>
      <c r="E467" s="24"/>
      <c r="F467" s="5"/>
      <c r="G467" s="5"/>
      <c r="H467" s="5"/>
    </row>
    <row r="468" spans="2:8" x14ac:dyDescent="0.35">
      <c r="B468" s="25"/>
      <c r="C468" s="4"/>
      <c r="D468" s="24"/>
      <c r="E468" s="24"/>
      <c r="F468" s="5"/>
      <c r="G468" s="5"/>
      <c r="H468" s="5"/>
    </row>
    <row r="469" spans="2:8" x14ac:dyDescent="0.35">
      <c r="B469" s="25"/>
      <c r="C469" s="4"/>
      <c r="D469" s="24"/>
      <c r="E469" s="24"/>
      <c r="F469" s="5"/>
      <c r="G469" s="5"/>
      <c r="H469" s="5"/>
    </row>
    <row r="470" spans="2:8" x14ac:dyDescent="0.35">
      <c r="B470" s="25"/>
      <c r="C470" s="4"/>
      <c r="D470" s="24"/>
      <c r="E470" s="24"/>
      <c r="F470" s="5"/>
      <c r="G470" s="5"/>
      <c r="H470" s="5"/>
    </row>
    <row r="471" spans="2:8" x14ac:dyDescent="0.35">
      <c r="B471" s="25"/>
      <c r="C471" s="4"/>
      <c r="D471" s="24"/>
      <c r="E471" s="24"/>
      <c r="F471" s="5"/>
      <c r="G471" s="5"/>
      <c r="H471" s="5"/>
    </row>
    <row r="472" spans="2:8" x14ac:dyDescent="0.35">
      <c r="B472" s="25"/>
      <c r="C472" s="4"/>
      <c r="D472" s="24"/>
      <c r="E472" s="24"/>
      <c r="F472" s="5"/>
      <c r="G472" s="5"/>
      <c r="H472" s="5"/>
    </row>
    <row r="473" spans="2:8" x14ac:dyDescent="0.35">
      <c r="B473" s="25"/>
      <c r="C473" s="4"/>
      <c r="D473" s="24"/>
      <c r="E473" s="24"/>
      <c r="F473" s="5"/>
      <c r="G473" s="5"/>
      <c r="H473" s="5"/>
    </row>
    <row r="474" spans="2:8" x14ac:dyDescent="0.35">
      <c r="B474" s="25"/>
      <c r="C474" s="4"/>
      <c r="D474" s="24"/>
      <c r="E474" s="24"/>
      <c r="F474" s="5"/>
      <c r="G474" s="5"/>
      <c r="H474" s="5"/>
    </row>
    <row r="475" spans="2:8" x14ac:dyDescent="0.35">
      <c r="B475" s="25"/>
      <c r="C475" s="4"/>
      <c r="D475" s="24"/>
      <c r="E475" s="24"/>
      <c r="F475" s="5"/>
      <c r="G475" s="5"/>
      <c r="H475" s="5"/>
    </row>
    <row r="476" spans="2:8" x14ac:dyDescent="0.35">
      <c r="B476" s="25"/>
      <c r="C476" s="4"/>
      <c r="D476" s="24"/>
      <c r="E476" s="24"/>
      <c r="F476" s="5"/>
      <c r="G476" s="5"/>
      <c r="H476" s="5"/>
    </row>
    <row r="477" spans="2:8" x14ac:dyDescent="0.35">
      <c r="B477" s="25"/>
      <c r="C477" s="4"/>
      <c r="D477" s="24"/>
      <c r="E477" s="24"/>
      <c r="F477" s="5"/>
      <c r="G477" s="5"/>
      <c r="H477" s="5"/>
    </row>
    <row r="478" spans="2:8" x14ac:dyDescent="0.35">
      <c r="B478" s="25"/>
      <c r="C478" s="4"/>
      <c r="D478" s="24"/>
      <c r="E478" s="24"/>
      <c r="F478" s="5"/>
      <c r="G478" s="5"/>
      <c r="H478" s="5"/>
    </row>
    <row r="479" spans="2:8" x14ac:dyDescent="0.35">
      <c r="B479" s="25"/>
      <c r="C479" s="4"/>
      <c r="D479" s="24"/>
      <c r="E479" s="24"/>
      <c r="F479" s="5"/>
      <c r="G479" s="5"/>
      <c r="H479" s="5"/>
    </row>
    <row r="480" spans="2:8" x14ac:dyDescent="0.35">
      <c r="B480" s="25"/>
      <c r="C480" s="4"/>
      <c r="D480" s="24"/>
      <c r="E480" s="24"/>
      <c r="F480" s="5"/>
      <c r="G480" s="5"/>
      <c r="H480" s="5"/>
    </row>
    <row r="481" spans="2:8" x14ac:dyDescent="0.35">
      <c r="B481" s="25"/>
      <c r="C481" s="4"/>
      <c r="D481" s="24"/>
      <c r="E481" s="24"/>
      <c r="F481" s="5"/>
      <c r="G481" s="5"/>
      <c r="H481" s="5"/>
    </row>
    <row r="482" spans="2:8" x14ac:dyDescent="0.35">
      <c r="B482" s="25"/>
      <c r="C482" s="4"/>
      <c r="D482" s="24"/>
      <c r="E482" s="24"/>
      <c r="F482" s="5"/>
      <c r="G482" s="5"/>
      <c r="H482" s="5"/>
    </row>
    <row r="483" spans="2:8" x14ac:dyDescent="0.35">
      <c r="B483" s="25"/>
      <c r="C483" s="4"/>
      <c r="D483" s="24"/>
      <c r="E483" s="24"/>
      <c r="F483" s="5"/>
      <c r="G483" s="5"/>
      <c r="H483" s="5"/>
    </row>
    <row r="484" spans="2:8" x14ac:dyDescent="0.35">
      <c r="B484" s="25"/>
      <c r="C484" s="4"/>
      <c r="D484" s="24"/>
      <c r="E484" s="24"/>
      <c r="F484" s="5"/>
      <c r="G484" s="5"/>
      <c r="H484" s="5"/>
    </row>
    <row r="485" spans="2:8" x14ac:dyDescent="0.35">
      <c r="B485" s="25"/>
      <c r="C485" s="4"/>
      <c r="D485" s="24"/>
      <c r="E485" s="24"/>
      <c r="F485" s="5"/>
      <c r="G485" s="5"/>
      <c r="H485" s="5"/>
    </row>
    <row r="486" spans="2:8" x14ac:dyDescent="0.35">
      <c r="B486" s="25"/>
      <c r="C486" s="4"/>
      <c r="D486" s="24"/>
      <c r="E486" s="24"/>
      <c r="F486" s="5"/>
      <c r="G486" s="5"/>
      <c r="H486" s="5"/>
    </row>
    <row r="487" spans="2:8" x14ac:dyDescent="0.35">
      <c r="B487" s="25"/>
      <c r="C487" s="4"/>
      <c r="D487" s="24"/>
      <c r="E487" s="24"/>
      <c r="F487" s="5"/>
      <c r="G487" s="5"/>
      <c r="H487" s="5"/>
    </row>
    <row r="488" spans="2:8" x14ac:dyDescent="0.35">
      <c r="B488" s="25"/>
      <c r="C488" s="4"/>
      <c r="D488" s="24"/>
      <c r="E488" s="24"/>
      <c r="F488" s="5"/>
      <c r="G488" s="5"/>
      <c r="H488" s="5"/>
    </row>
    <row r="489" spans="2:8" x14ac:dyDescent="0.35">
      <c r="B489" s="25"/>
      <c r="C489" s="4"/>
      <c r="D489" s="24"/>
      <c r="E489" s="24"/>
      <c r="F489" s="5"/>
      <c r="G489" s="5"/>
      <c r="H489" s="5"/>
    </row>
    <row r="490" spans="2:8" x14ac:dyDescent="0.35">
      <c r="B490" s="25"/>
      <c r="C490" s="4"/>
      <c r="D490" s="24"/>
      <c r="E490" s="24"/>
      <c r="F490" s="5"/>
      <c r="G490" s="5"/>
      <c r="H490" s="5"/>
    </row>
    <row r="491" spans="2:8" x14ac:dyDescent="0.35">
      <c r="B491" s="25"/>
      <c r="C491" s="4"/>
      <c r="D491" s="24"/>
      <c r="E491" s="24"/>
      <c r="F491" s="5"/>
      <c r="G491" s="5"/>
      <c r="H491" s="5"/>
    </row>
    <row r="492" spans="2:8" x14ac:dyDescent="0.35">
      <c r="B492" s="25"/>
      <c r="C492" s="4"/>
      <c r="D492" s="24"/>
      <c r="E492" s="24"/>
      <c r="F492" s="5"/>
      <c r="G492" s="5"/>
      <c r="H492" s="5"/>
    </row>
    <row r="493" spans="2:8" x14ac:dyDescent="0.35">
      <c r="B493" s="25"/>
      <c r="C493" s="4"/>
      <c r="D493" s="24"/>
      <c r="E493" s="24"/>
      <c r="F493" s="5"/>
      <c r="G493" s="5"/>
      <c r="H493" s="5"/>
    </row>
    <row r="494" spans="2:8" x14ac:dyDescent="0.35">
      <c r="B494" s="25"/>
      <c r="C494" s="4"/>
      <c r="D494" s="24"/>
      <c r="E494" s="24"/>
      <c r="F494" s="5"/>
      <c r="G494" s="5"/>
      <c r="H494" s="5"/>
    </row>
    <row r="495" spans="2:8" x14ac:dyDescent="0.35">
      <c r="B495" s="25"/>
      <c r="C495" s="4"/>
      <c r="D495" s="24"/>
      <c r="E495" s="24"/>
      <c r="F495" s="5"/>
      <c r="G495" s="5"/>
      <c r="H495" s="5"/>
    </row>
    <row r="496" spans="2:8" x14ac:dyDescent="0.35">
      <c r="B496" s="25"/>
      <c r="C496" s="4"/>
      <c r="D496" s="24"/>
      <c r="E496" s="24"/>
      <c r="F496" s="5"/>
      <c r="G496" s="5"/>
      <c r="H496" s="5"/>
    </row>
    <row r="497" spans="2:8" x14ac:dyDescent="0.35">
      <c r="B497" s="25"/>
      <c r="C497" s="4"/>
      <c r="D497" s="24"/>
      <c r="E497" s="24"/>
      <c r="F497" s="5"/>
      <c r="G497" s="5"/>
      <c r="H497" s="5"/>
    </row>
    <row r="498" spans="2:8" x14ac:dyDescent="0.35">
      <c r="B498" s="25"/>
      <c r="C498" s="4"/>
      <c r="D498" s="24"/>
      <c r="E498" s="24"/>
      <c r="F498" s="5"/>
      <c r="G498" s="5"/>
      <c r="H498" s="5"/>
    </row>
    <row r="499" spans="2:8" x14ac:dyDescent="0.35">
      <c r="B499" s="25"/>
      <c r="C499" s="4"/>
      <c r="D499" s="24"/>
      <c r="E499" s="24"/>
      <c r="F499" s="5"/>
      <c r="G499" s="5"/>
      <c r="H499" s="5"/>
    </row>
    <row r="500" spans="2:8" x14ac:dyDescent="0.35">
      <c r="B500" s="25"/>
      <c r="C500" s="4"/>
      <c r="D500" s="24"/>
      <c r="E500" s="24"/>
      <c r="F500" s="5"/>
      <c r="G500" s="5"/>
      <c r="H500" s="5"/>
    </row>
    <row r="501" spans="2:8" x14ac:dyDescent="0.35">
      <c r="B501" s="25"/>
      <c r="C501" s="4"/>
      <c r="D501" s="24"/>
      <c r="E501" s="24"/>
      <c r="F501" s="5"/>
      <c r="G501" s="5"/>
      <c r="H501" s="5"/>
    </row>
    <row r="502" spans="2:8" x14ac:dyDescent="0.35">
      <c r="B502" s="25"/>
      <c r="C502" s="4"/>
      <c r="D502" s="24"/>
      <c r="E502" s="24"/>
      <c r="F502" s="5"/>
      <c r="G502" s="5"/>
      <c r="H502" s="5"/>
    </row>
    <row r="503" spans="2:8" x14ac:dyDescent="0.35">
      <c r="B503" s="25"/>
      <c r="C503" s="4"/>
      <c r="D503" s="24"/>
      <c r="E503" s="24"/>
      <c r="F503" s="5"/>
      <c r="G503" s="5"/>
      <c r="H503" s="5"/>
    </row>
    <row r="504" spans="2:8" x14ac:dyDescent="0.35">
      <c r="B504" s="25"/>
      <c r="C504" s="4"/>
      <c r="D504" s="24"/>
      <c r="E504" s="24"/>
      <c r="F504" s="5"/>
      <c r="G504" s="5"/>
      <c r="H504" s="5"/>
    </row>
    <row r="505" spans="2:8" x14ac:dyDescent="0.35">
      <c r="B505" s="25"/>
      <c r="C505" s="4"/>
      <c r="D505" s="24"/>
      <c r="E505" s="24"/>
      <c r="F505" s="5"/>
      <c r="G505" s="5"/>
      <c r="H505" s="5"/>
    </row>
    <row r="506" spans="2:8" x14ac:dyDescent="0.35">
      <c r="B506" s="25"/>
      <c r="C506" s="4"/>
      <c r="D506" s="24"/>
      <c r="E506" s="24"/>
      <c r="F506" s="5"/>
      <c r="G506" s="5"/>
      <c r="H506" s="5"/>
    </row>
    <row r="507" spans="2:8" x14ac:dyDescent="0.35">
      <c r="B507" s="25"/>
      <c r="C507" s="4"/>
      <c r="D507" s="24"/>
      <c r="E507" s="24"/>
      <c r="F507" s="5"/>
      <c r="G507" s="5"/>
      <c r="H507" s="5"/>
    </row>
    <row r="508" spans="2:8" x14ac:dyDescent="0.35">
      <c r="B508" s="25"/>
      <c r="C508" s="4"/>
      <c r="D508" s="24"/>
      <c r="E508" s="24"/>
      <c r="F508" s="5"/>
      <c r="G508" s="5"/>
      <c r="H508" s="5"/>
    </row>
    <row r="509" spans="2:8" x14ac:dyDescent="0.35">
      <c r="B509" s="25"/>
      <c r="C509" s="4"/>
      <c r="D509" s="24"/>
      <c r="E509" s="24"/>
      <c r="F509" s="5"/>
      <c r="G509" s="5"/>
      <c r="H509" s="5"/>
    </row>
    <row r="510" spans="2:8" x14ac:dyDescent="0.35">
      <c r="B510" s="25"/>
      <c r="C510" s="4"/>
      <c r="D510" s="24"/>
      <c r="E510" s="24"/>
      <c r="F510" s="5"/>
      <c r="G510" s="5"/>
      <c r="H510" s="5"/>
    </row>
    <row r="511" spans="2:8" x14ac:dyDescent="0.35">
      <c r="B511" s="25"/>
      <c r="C511" s="4"/>
      <c r="D511" s="24"/>
      <c r="E511" s="24"/>
      <c r="F511" s="5"/>
      <c r="G511" s="5"/>
      <c r="H511" s="5"/>
    </row>
    <row r="512" spans="2:8" x14ac:dyDescent="0.35">
      <c r="B512" s="25"/>
      <c r="C512" s="4"/>
      <c r="D512" s="24"/>
      <c r="E512" s="24"/>
      <c r="F512" s="5"/>
      <c r="G512" s="5"/>
      <c r="H512" s="5"/>
    </row>
    <row r="513" spans="2:8" x14ac:dyDescent="0.35">
      <c r="B513" s="25"/>
      <c r="C513" s="4"/>
      <c r="D513" s="24"/>
      <c r="E513" s="24"/>
      <c r="F513" s="5"/>
      <c r="G513" s="5"/>
      <c r="H513" s="5"/>
    </row>
    <row r="514" spans="2:8" x14ac:dyDescent="0.35">
      <c r="B514" s="25"/>
      <c r="C514" s="4"/>
      <c r="D514" s="24"/>
      <c r="E514" s="24"/>
      <c r="F514" s="5"/>
      <c r="G514" s="5"/>
      <c r="H514" s="5"/>
    </row>
    <row r="515" spans="2:8" x14ac:dyDescent="0.35">
      <c r="B515" s="25"/>
      <c r="C515" s="4"/>
      <c r="D515" s="24"/>
      <c r="E515" s="24"/>
      <c r="F515" s="5"/>
      <c r="G515" s="5"/>
      <c r="H515" s="5"/>
    </row>
    <row r="516" spans="2:8" x14ac:dyDescent="0.35">
      <c r="B516" s="25"/>
      <c r="C516" s="4"/>
      <c r="D516" s="24"/>
      <c r="E516" s="24"/>
      <c r="F516" s="5"/>
      <c r="G516" s="5"/>
      <c r="H516" s="5"/>
    </row>
    <row r="517" spans="2:8" x14ac:dyDescent="0.35">
      <c r="B517" s="25"/>
      <c r="C517" s="4"/>
      <c r="D517" s="24"/>
      <c r="E517" s="24"/>
      <c r="F517" s="5"/>
      <c r="G517" s="5"/>
      <c r="H517" s="5"/>
    </row>
    <row r="518" spans="2:8" x14ac:dyDescent="0.35">
      <c r="B518" s="25"/>
      <c r="C518" s="4"/>
      <c r="D518" s="24"/>
      <c r="E518" s="24"/>
      <c r="F518" s="5"/>
      <c r="G518" s="5"/>
      <c r="H518" s="5"/>
    </row>
    <row r="519" spans="2:8" x14ac:dyDescent="0.35">
      <c r="B519" s="25"/>
      <c r="C519" s="4"/>
      <c r="D519" s="24"/>
      <c r="E519" s="24"/>
      <c r="F519" s="5"/>
      <c r="G519" s="5"/>
      <c r="H519" s="5"/>
    </row>
    <row r="520" spans="2:8" x14ac:dyDescent="0.35">
      <c r="B520" s="25"/>
      <c r="C520" s="4"/>
      <c r="D520" s="24"/>
      <c r="E520" s="24"/>
      <c r="F520" s="5"/>
      <c r="G520" s="5"/>
      <c r="H520" s="5"/>
    </row>
    <row r="521" spans="2:8" x14ac:dyDescent="0.35">
      <c r="B521" s="25"/>
      <c r="C521" s="4"/>
      <c r="D521" s="24"/>
      <c r="E521" s="24"/>
      <c r="F521" s="5"/>
      <c r="G521" s="5"/>
      <c r="H521" s="5"/>
    </row>
    <row r="522" spans="2:8" x14ac:dyDescent="0.35">
      <c r="B522" s="25"/>
      <c r="C522" s="4"/>
      <c r="D522" s="24"/>
      <c r="E522" s="24"/>
      <c r="F522" s="5"/>
      <c r="G522" s="5"/>
      <c r="H522" s="5"/>
    </row>
    <row r="523" spans="2:8" x14ac:dyDescent="0.35">
      <c r="B523" s="25"/>
      <c r="C523" s="4"/>
      <c r="D523" s="24"/>
      <c r="E523" s="24"/>
      <c r="F523" s="5"/>
      <c r="G523" s="5"/>
      <c r="H523" s="5"/>
    </row>
    <row r="524" spans="2:8" x14ac:dyDescent="0.35">
      <c r="B524" s="25"/>
      <c r="C524" s="4"/>
      <c r="D524" s="24"/>
      <c r="E524" s="24"/>
      <c r="F524" s="5"/>
      <c r="G524" s="5"/>
      <c r="H524" s="5"/>
    </row>
    <row r="525" spans="2:8" x14ac:dyDescent="0.35">
      <c r="B525" s="25"/>
      <c r="C525" s="4"/>
      <c r="D525" s="24"/>
      <c r="E525" s="24"/>
      <c r="F525" s="5"/>
      <c r="G525" s="5"/>
      <c r="H525" s="5"/>
    </row>
    <row r="526" spans="2:8" x14ac:dyDescent="0.35">
      <c r="B526" s="25"/>
      <c r="C526" s="4"/>
      <c r="D526" s="24"/>
      <c r="E526" s="24"/>
      <c r="F526" s="5"/>
      <c r="G526" s="5"/>
      <c r="H526" s="5"/>
    </row>
    <row r="527" spans="2:8" x14ac:dyDescent="0.35">
      <c r="B527" s="25"/>
      <c r="C527" s="4"/>
      <c r="D527" s="24"/>
      <c r="E527" s="24"/>
      <c r="F527" s="5"/>
      <c r="G527" s="5"/>
      <c r="H527" s="5"/>
    </row>
    <row r="528" spans="2:8" x14ac:dyDescent="0.35">
      <c r="B528" s="25"/>
      <c r="C528" s="4"/>
      <c r="D528" s="24"/>
      <c r="E528" s="24"/>
      <c r="F528" s="5"/>
      <c r="G528" s="5"/>
      <c r="H528" s="5"/>
    </row>
    <row r="529" spans="2:8" x14ac:dyDescent="0.35">
      <c r="B529" s="25"/>
      <c r="C529" s="4"/>
      <c r="D529" s="24"/>
      <c r="E529" s="24"/>
      <c r="F529" s="5"/>
      <c r="G529" s="5"/>
      <c r="H529" s="5"/>
    </row>
    <row r="530" spans="2:8" x14ac:dyDescent="0.35">
      <c r="B530" s="25"/>
      <c r="C530" s="4"/>
      <c r="D530" s="24"/>
      <c r="E530" s="24"/>
      <c r="F530" s="5"/>
      <c r="G530" s="5"/>
      <c r="H530" s="5"/>
    </row>
    <row r="531" spans="2:8" x14ac:dyDescent="0.35">
      <c r="B531" s="25"/>
      <c r="C531" s="4"/>
      <c r="D531" s="24"/>
      <c r="E531" s="24"/>
      <c r="F531" s="5"/>
      <c r="G531" s="5"/>
      <c r="H531" s="5"/>
    </row>
    <row r="532" spans="2:8" x14ac:dyDescent="0.35">
      <c r="B532" s="25"/>
      <c r="C532" s="4"/>
      <c r="D532" s="24"/>
      <c r="E532" s="24"/>
      <c r="F532" s="5"/>
      <c r="G532" s="5"/>
      <c r="H532" s="5"/>
    </row>
    <row r="533" spans="2:8" x14ac:dyDescent="0.35">
      <c r="B533" s="25"/>
      <c r="C533" s="4"/>
      <c r="D533" s="24"/>
      <c r="E533" s="24"/>
      <c r="F533" s="5"/>
      <c r="G533" s="5"/>
      <c r="H533" s="5"/>
    </row>
    <row r="534" spans="2:8" x14ac:dyDescent="0.35">
      <c r="B534" s="25"/>
      <c r="C534" s="4"/>
      <c r="D534" s="24"/>
      <c r="E534" s="24"/>
      <c r="F534" s="5"/>
      <c r="G534" s="5"/>
      <c r="H534" s="5"/>
    </row>
    <row r="535" spans="2:8" x14ac:dyDescent="0.35">
      <c r="B535" s="25"/>
      <c r="C535" s="4"/>
      <c r="D535" s="24"/>
      <c r="E535" s="24"/>
      <c r="F535" s="5"/>
      <c r="G535" s="5"/>
      <c r="H535" s="5"/>
    </row>
    <row r="536" spans="2:8" x14ac:dyDescent="0.35">
      <c r="B536" s="25"/>
      <c r="C536" s="4"/>
      <c r="D536" s="24"/>
      <c r="E536" s="24"/>
      <c r="F536" s="5"/>
      <c r="G536" s="5"/>
      <c r="H536" s="5"/>
    </row>
    <row r="537" spans="2:8" x14ac:dyDescent="0.35">
      <c r="B537" s="25"/>
      <c r="C537" s="4"/>
      <c r="D537" s="24"/>
      <c r="E537" s="24"/>
      <c r="F537" s="5"/>
      <c r="G537" s="5"/>
      <c r="H537" s="5"/>
    </row>
    <row r="538" spans="2:8" x14ac:dyDescent="0.35">
      <c r="B538" s="25"/>
      <c r="C538" s="4"/>
      <c r="D538" s="24"/>
      <c r="E538" s="24"/>
      <c r="F538" s="5"/>
      <c r="G538" s="5"/>
      <c r="H538" s="5"/>
    </row>
    <row r="539" spans="2:8" x14ac:dyDescent="0.35">
      <c r="B539" s="25"/>
      <c r="C539" s="4"/>
      <c r="D539" s="24"/>
      <c r="E539" s="24"/>
      <c r="F539" s="5"/>
      <c r="G539" s="5"/>
      <c r="H539" s="5"/>
    </row>
    <row r="540" spans="2:8" x14ac:dyDescent="0.35">
      <c r="B540" s="25"/>
      <c r="C540" s="4"/>
      <c r="D540" s="24"/>
      <c r="E540" s="24"/>
      <c r="F540" s="5"/>
      <c r="G540" s="5"/>
      <c r="H540" s="5"/>
    </row>
    <row r="541" spans="2:8" x14ac:dyDescent="0.35">
      <c r="B541" s="25"/>
      <c r="C541" s="4"/>
      <c r="D541" s="24"/>
      <c r="E541" s="24"/>
      <c r="F541" s="5"/>
      <c r="G541" s="5"/>
      <c r="H541" s="5"/>
    </row>
    <row r="542" spans="2:8" x14ac:dyDescent="0.35">
      <c r="B542" s="25"/>
      <c r="C542" s="4"/>
      <c r="D542" s="24"/>
      <c r="E542" s="24"/>
      <c r="F542" s="5"/>
      <c r="G542" s="5"/>
      <c r="H542" s="5"/>
    </row>
    <row r="543" spans="2:8" x14ac:dyDescent="0.35">
      <c r="B543" s="25"/>
      <c r="C543" s="4"/>
      <c r="D543" s="24"/>
      <c r="E543" s="24"/>
      <c r="F543" s="5"/>
      <c r="G543" s="5"/>
      <c r="H543" s="5"/>
    </row>
    <row r="544" spans="2:8" x14ac:dyDescent="0.35">
      <c r="B544" s="25"/>
      <c r="C544" s="4"/>
      <c r="D544" s="24"/>
      <c r="E544" s="24"/>
      <c r="F544" s="5"/>
      <c r="G544" s="5"/>
      <c r="H544" s="5"/>
    </row>
    <row r="545" spans="2:8" x14ac:dyDescent="0.35">
      <c r="B545" s="25"/>
      <c r="C545" s="4"/>
      <c r="D545" s="24"/>
      <c r="E545" s="24"/>
      <c r="F545" s="5"/>
      <c r="G545" s="5"/>
      <c r="H545" s="5"/>
    </row>
    <row r="546" spans="2:8" x14ac:dyDescent="0.35">
      <c r="B546" s="25"/>
      <c r="C546" s="4"/>
      <c r="D546" s="24"/>
      <c r="E546" s="24"/>
      <c r="F546" s="5"/>
      <c r="G546" s="5"/>
      <c r="H546" s="5"/>
    </row>
    <row r="547" spans="2:8" x14ac:dyDescent="0.35">
      <c r="B547" s="25"/>
      <c r="C547" s="4"/>
      <c r="D547" s="24"/>
      <c r="E547" s="24"/>
      <c r="F547" s="5"/>
      <c r="G547" s="5"/>
      <c r="H547" s="5"/>
    </row>
    <row r="548" spans="2:8" x14ac:dyDescent="0.35">
      <c r="B548" s="25"/>
      <c r="C548" s="4"/>
      <c r="D548" s="24"/>
      <c r="E548" s="24"/>
      <c r="F548" s="5"/>
      <c r="G548" s="5"/>
      <c r="H548" s="5"/>
    </row>
    <row r="549" spans="2:8" x14ac:dyDescent="0.35">
      <c r="B549" s="25"/>
      <c r="C549" s="4"/>
      <c r="D549" s="24"/>
      <c r="E549" s="24"/>
      <c r="F549" s="5"/>
      <c r="G549" s="5"/>
      <c r="H549" s="5"/>
    </row>
    <row r="550" spans="2:8" x14ac:dyDescent="0.35">
      <c r="B550" s="25"/>
      <c r="C550" s="4"/>
      <c r="D550" s="24"/>
      <c r="E550" s="24"/>
      <c r="F550" s="5"/>
      <c r="G550" s="5"/>
      <c r="H550" s="5"/>
    </row>
    <row r="551" spans="2:8" x14ac:dyDescent="0.35">
      <c r="B551" s="25"/>
      <c r="C551" s="4"/>
      <c r="D551" s="24"/>
      <c r="E551" s="24"/>
      <c r="F551" s="5"/>
      <c r="G551" s="5"/>
      <c r="H551" s="5"/>
    </row>
    <row r="552" spans="2:8" x14ac:dyDescent="0.35">
      <c r="B552" s="25"/>
      <c r="C552" s="4"/>
      <c r="D552" s="24"/>
      <c r="E552" s="24"/>
      <c r="F552" s="5"/>
      <c r="G552" s="5"/>
      <c r="H552" s="5"/>
    </row>
    <row r="553" spans="2:8" x14ac:dyDescent="0.35">
      <c r="B553" s="25"/>
      <c r="C553" s="4"/>
      <c r="D553" s="24"/>
      <c r="E553" s="24"/>
      <c r="F553" s="5"/>
      <c r="G553" s="5"/>
      <c r="H553" s="5"/>
    </row>
    <row r="554" spans="2:8" x14ac:dyDescent="0.35">
      <c r="B554" s="25"/>
      <c r="C554" s="4"/>
      <c r="D554" s="24"/>
      <c r="E554" s="24"/>
      <c r="F554" s="5"/>
      <c r="G554" s="5"/>
      <c r="H554" s="5"/>
    </row>
    <row r="555" spans="2:8" x14ac:dyDescent="0.35">
      <c r="B555" s="25"/>
      <c r="C555" s="4"/>
      <c r="D555" s="24"/>
      <c r="E555" s="24"/>
      <c r="F555" s="5"/>
      <c r="G555" s="5"/>
      <c r="H555" s="5"/>
    </row>
    <row r="556" spans="2:8" x14ac:dyDescent="0.35">
      <c r="B556" s="25"/>
      <c r="C556" s="4"/>
      <c r="D556" s="24"/>
      <c r="E556" s="24"/>
      <c r="F556" s="5"/>
      <c r="G556" s="5"/>
      <c r="H556" s="5"/>
    </row>
    <row r="557" spans="2:8" x14ac:dyDescent="0.35">
      <c r="B557" s="25"/>
      <c r="C557" s="4"/>
      <c r="D557" s="24"/>
      <c r="E557" s="24"/>
      <c r="F557" s="5"/>
      <c r="G557" s="5"/>
      <c r="H557" s="5"/>
    </row>
    <row r="558" spans="2:8" x14ac:dyDescent="0.35">
      <c r="B558" s="25"/>
      <c r="C558" s="4"/>
      <c r="D558" s="24"/>
      <c r="E558" s="24"/>
      <c r="F558" s="5"/>
      <c r="G558" s="5"/>
      <c r="H558" s="5"/>
    </row>
    <row r="559" spans="2:8" x14ac:dyDescent="0.35">
      <c r="B559" s="25"/>
      <c r="C559" s="4"/>
      <c r="D559" s="24"/>
      <c r="E559" s="24"/>
      <c r="F559" s="5"/>
      <c r="G559" s="5"/>
      <c r="H559" s="5"/>
    </row>
    <row r="560" spans="2:8" x14ac:dyDescent="0.35">
      <c r="B560" s="25"/>
      <c r="C560" s="4"/>
      <c r="D560" s="24"/>
      <c r="E560" s="24"/>
      <c r="F560" s="5"/>
      <c r="G560" s="5"/>
      <c r="H560" s="5"/>
    </row>
    <row r="561" spans="2:8" x14ac:dyDescent="0.35">
      <c r="B561" s="25"/>
      <c r="C561" s="4"/>
      <c r="D561" s="24"/>
      <c r="E561" s="24"/>
      <c r="F561" s="5"/>
      <c r="G561" s="5"/>
      <c r="H561" s="5"/>
    </row>
    <row r="562" spans="2:8" x14ac:dyDescent="0.35">
      <c r="B562" s="25"/>
      <c r="C562" s="4"/>
      <c r="D562" s="24"/>
      <c r="E562" s="24"/>
      <c r="F562" s="5"/>
      <c r="G562" s="5"/>
      <c r="H562" s="5"/>
    </row>
    <row r="563" spans="2:8" x14ac:dyDescent="0.35">
      <c r="B563" s="25"/>
      <c r="C563" s="4"/>
      <c r="D563" s="24"/>
      <c r="E563" s="24"/>
      <c r="F563" s="5"/>
      <c r="G563" s="5"/>
      <c r="H563" s="5"/>
    </row>
    <row r="564" spans="2:8" x14ac:dyDescent="0.35">
      <c r="B564" s="25"/>
      <c r="C564" s="4"/>
      <c r="D564" s="24"/>
      <c r="E564" s="24"/>
      <c r="F564" s="5"/>
      <c r="G564" s="5"/>
      <c r="H564" s="5"/>
    </row>
    <row r="565" spans="2:8" x14ac:dyDescent="0.35">
      <c r="B565" s="25"/>
      <c r="C565" s="4"/>
      <c r="D565" s="24"/>
      <c r="E565" s="24"/>
      <c r="F565" s="5"/>
      <c r="G565" s="5"/>
      <c r="H565" s="5"/>
    </row>
    <row r="566" spans="2:8" x14ac:dyDescent="0.35">
      <c r="B566" s="25"/>
      <c r="C566" s="4"/>
      <c r="D566" s="24"/>
      <c r="E566" s="24"/>
      <c r="F566" s="5"/>
      <c r="G566" s="5"/>
      <c r="H566" s="5"/>
    </row>
    <row r="567" spans="2:8" x14ac:dyDescent="0.35">
      <c r="B567" s="25"/>
      <c r="C567" s="4"/>
      <c r="D567" s="24"/>
      <c r="E567" s="24"/>
      <c r="F567" s="5"/>
      <c r="G567" s="5"/>
      <c r="H567" s="5"/>
    </row>
    <row r="568" spans="2:8" x14ac:dyDescent="0.35">
      <c r="B568" s="25"/>
      <c r="C568" s="4"/>
      <c r="D568" s="24"/>
      <c r="E568" s="24"/>
      <c r="F568" s="5"/>
      <c r="G568" s="5"/>
      <c r="H568" s="5"/>
    </row>
    <row r="569" spans="2:8" x14ac:dyDescent="0.35">
      <c r="B569" s="25"/>
      <c r="C569" s="4"/>
      <c r="D569" s="24"/>
      <c r="E569" s="24"/>
      <c r="F569" s="5"/>
      <c r="G569" s="5"/>
      <c r="H569" s="5"/>
    </row>
    <row r="570" spans="2:8" x14ac:dyDescent="0.35">
      <c r="B570" s="25"/>
      <c r="C570" s="4"/>
      <c r="D570" s="24"/>
      <c r="E570" s="24"/>
      <c r="F570" s="5"/>
      <c r="G570" s="5"/>
      <c r="H570" s="5"/>
    </row>
    <row r="571" spans="2:8" x14ac:dyDescent="0.35">
      <c r="B571" s="25"/>
      <c r="C571" s="4"/>
      <c r="D571" s="24"/>
      <c r="E571" s="24"/>
      <c r="F571" s="5"/>
      <c r="G571" s="5"/>
      <c r="H571" s="5"/>
    </row>
    <row r="572" spans="2:8" x14ac:dyDescent="0.35">
      <c r="B572" s="25"/>
      <c r="C572" s="4"/>
      <c r="D572" s="24"/>
      <c r="E572" s="24"/>
      <c r="F572" s="5"/>
      <c r="G572" s="5"/>
      <c r="H572" s="5"/>
    </row>
    <row r="573" spans="2:8" x14ac:dyDescent="0.35">
      <c r="B573" s="25"/>
      <c r="C573" s="4"/>
      <c r="D573" s="24"/>
      <c r="E573" s="24"/>
      <c r="F573" s="5"/>
      <c r="G573" s="5"/>
      <c r="H573" s="5"/>
    </row>
    <row r="574" spans="2:8" x14ac:dyDescent="0.35">
      <c r="B574" s="25"/>
      <c r="C574" s="4"/>
      <c r="D574" s="24"/>
      <c r="E574" s="24"/>
      <c r="F574" s="5"/>
      <c r="G574" s="5"/>
      <c r="H574" s="5"/>
    </row>
    <row r="575" spans="2:8" x14ac:dyDescent="0.35">
      <c r="B575" s="25"/>
      <c r="C575" s="4"/>
      <c r="D575" s="24"/>
      <c r="E575" s="24"/>
      <c r="F575" s="5"/>
      <c r="G575" s="5"/>
      <c r="H575" s="5"/>
    </row>
    <row r="576" spans="2:8" x14ac:dyDescent="0.35">
      <c r="B576" s="25"/>
      <c r="C576" s="4"/>
      <c r="D576" s="24"/>
      <c r="E576" s="24"/>
      <c r="F576" s="5"/>
      <c r="G576" s="5"/>
      <c r="H576" s="5"/>
    </row>
    <row r="577" spans="2:8" x14ac:dyDescent="0.35">
      <c r="B577" s="25"/>
      <c r="C577" s="4"/>
      <c r="D577" s="24"/>
      <c r="E577" s="24"/>
      <c r="F577" s="5"/>
      <c r="G577" s="5"/>
      <c r="H577" s="5"/>
    </row>
    <row r="578" spans="2:8" x14ac:dyDescent="0.35">
      <c r="B578" s="25"/>
      <c r="C578" s="4"/>
      <c r="D578" s="24"/>
      <c r="E578" s="24"/>
      <c r="F578" s="5"/>
      <c r="G578" s="5"/>
      <c r="H578" s="5"/>
    </row>
    <row r="579" spans="2:8" x14ac:dyDescent="0.35">
      <c r="B579" s="25"/>
      <c r="C579" s="4"/>
      <c r="D579" s="24"/>
      <c r="E579" s="24"/>
      <c r="F579" s="5"/>
      <c r="G579" s="5"/>
      <c r="H579" s="5"/>
    </row>
    <row r="580" spans="2:8" x14ac:dyDescent="0.35">
      <c r="B580" s="25"/>
      <c r="C580" s="4"/>
      <c r="D580" s="24"/>
      <c r="E580" s="24"/>
      <c r="F580" s="5"/>
      <c r="G580" s="5"/>
      <c r="H580" s="5"/>
    </row>
    <row r="581" spans="2:8" x14ac:dyDescent="0.35">
      <c r="B581" s="25"/>
      <c r="C581" s="4"/>
      <c r="D581" s="24"/>
      <c r="E581" s="24"/>
      <c r="F581" s="5"/>
      <c r="G581" s="5"/>
      <c r="H581" s="5"/>
    </row>
    <row r="582" spans="2:8" x14ac:dyDescent="0.35">
      <c r="B582" s="25"/>
      <c r="C582" s="4"/>
      <c r="D582" s="24"/>
      <c r="E582" s="24"/>
      <c r="F582" s="5"/>
      <c r="G582" s="5"/>
      <c r="H582" s="5"/>
    </row>
    <row r="583" spans="2:8" x14ac:dyDescent="0.35">
      <c r="B583" s="25"/>
      <c r="C583" s="4"/>
      <c r="D583" s="24"/>
      <c r="E583" s="24"/>
      <c r="F583" s="5"/>
      <c r="G583" s="5"/>
      <c r="H583" s="5"/>
    </row>
    <row r="584" spans="2:8" x14ac:dyDescent="0.35">
      <c r="B584" s="25"/>
      <c r="C584" s="4"/>
      <c r="D584" s="24"/>
      <c r="E584" s="24"/>
      <c r="F584" s="5"/>
      <c r="G584" s="5"/>
      <c r="H584" s="5"/>
    </row>
    <row r="585" spans="2:8" x14ac:dyDescent="0.35">
      <c r="B585" s="25"/>
      <c r="C585" s="4"/>
      <c r="D585" s="24"/>
      <c r="E585" s="24"/>
      <c r="F585" s="5"/>
      <c r="G585" s="5"/>
      <c r="H585" s="5"/>
    </row>
    <row r="586" spans="2:8" x14ac:dyDescent="0.35">
      <c r="B586" s="25"/>
      <c r="C586" s="4"/>
      <c r="D586" s="24"/>
      <c r="E586" s="24"/>
      <c r="F586" s="5"/>
      <c r="G586" s="5"/>
      <c r="H586" s="5"/>
    </row>
    <row r="587" spans="2:8" x14ac:dyDescent="0.35">
      <c r="B587" s="25"/>
      <c r="C587" s="4"/>
      <c r="D587" s="24"/>
      <c r="E587" s="24"/>
      <c r="F587" s="5"/>
      <c r="G587" s="5"/>
      <c r="H587" s="5"/>
    </row>
    <row r="588" spans="2:8" x14ac:dyDescent="0.35">
      <c r="B588" s="25"/>
      <c r="C588" s="4"/>
      <c r="D588" s="24"/>
      <c r="E588" s="24"/>
      <c r="F588" s="5"/>
      <c r="G588" s="5"/>
      <c r="H588" s="5"/>
    </row>
    <row r="589" spans="2:8" x14ac:dyDescent="0.35">
      <c r="B589" s="25"/>
      <c r="C589" s="4"/>
      <c r="D589" s="24"/>
      <c r="E589" s="24"/>
      <c r="F589" s="5"/>
      <c r="G589" s="5"/>
      <c r="H589" s="5"/>
    </row>
    <row r="590" spans="2:8" x14ac:dyDescent="0.35">
      <c r="B590" s="25"/>
      <c r="C590" s="4"/>
      <c r="D590" s="24"/>
      <c r="E590" s="24"/>
      <c r="F590" s="5"/>
      <c r="G590" s="5"/>
      <c r="H590" s="5"/>
    </row>
    <row r="591" spans="2:8" x14ac:dyDescent="0.35">
      <c r="B591" s="25"/>
      <c r="C591" s="4"/>
      <c r="D591" s="24"/>
      <c r="E591" s="24"/>
      <c r="F591" s="5"/>
      <c r="G591" s="5"/>
      <c r="H591" s="5"/>
    </row>
    <row r="592" spans="2:8" x14ac:dyDescent="0.35">
      <c r="B592" s="25"/>
      <c r="C592" s="4"/>
      <c r="D592" s="24"/>
      <c r="E592" s="24"/>
      <c r="F592" s="5"/>
      <c r="G592" s="5"/>
      <c r="H592" s="5"/>
    </row>
    <row r="593" spans="2:8" x14ac:dyDescent="0.35">
      <c r="B593" s="25"/>
      <c r="C593" s="4"/>
      <c r="D593" s="24"/>
      <c r="E593" s="24"/>
      <c r="F593" s="5"/>
      <c r="G593" s="5"/>
      <c r="H593" s="5"/>
    </row>
    <row r="594" spans="2:8" x14ac:dyDescent="0.35">
      <c r="B594" s="25"/>
      <c r="C594" s="4"/>
      <c r="D594" s="24"/>
      <c r="E594" s="24"/>
      <c r="F594" s="5"/>
      <c r="G594" s="5"/>
      <c r="H594" s="5"/>
    </row>
    <row r="595" spans="2:8" x14ac:dyDescent="0.35">
      <c r="B595" s="25"/>
      <c r="C595" s="4"/>
      <c r="D595" s="24"/>
      <c r="E595" s="24"/>
      <c r="F595" s="5"/>
      <c r="G595" s="5"/>
      <c r="H595" s="5"/>
    </row>
    <row r="596" spans="2:8" x14ac:dyDescent="0.35">
      <c r="B596" s="25"/>
      <c r="C596" s="4"/>
      <c r="D596" s="24"/>
      <c r="E596" s="24"/>
      <c r="F596" s="5"/>
      <c r="G596" s="5"/>
      <c r="H596" s="5"/>
    </row>
    <row r="597" spans="2:8" x14ac:dyDescent="0.35">
      <c r="B597" s="25"/>
      <c r="C597" s="4"/>
      <c r="D597" s="24"/>
      <c r="E597" s="24"/>
      <c r="F597" s="5"/>
      <c r="G597" s="5"/>
      <c r="H597" s="5"/>
    </row>
    <row r="598" spans="2:8" x14ac:dyDescent="0.35">
      <c r="B598" s="25"/>
      <c r="C598" s="4"/>
      <c r="D598" s="24"/>
      <c r="E598" s="24"/>
      <c r="F598" s="5"/>
      <c r="G598" s="5"/>
      <c r="H598" s="5"/>
    </row>
    <row r="599" spans="2:8" x14ac:dyDescent="0.35">
      <c r="B599" s="25"/>
      <c r="C599" s="4"/>
      <c r="D599" s="24"/>
      <c r="E599" s="24"/>
      <c r="F599" s="5"/>
      <c r="G599" s="5"/>
      <c r="H599" s="5"/>
    </row>
    <row r="600" spans="2:8" x14ac:dyDescent="0.35">
      <c r="B600" s="25"/>
      <c r="C600" s="4"/>
      <c r="D600" s="24"/>
      <c r="E600" s="24"/>
      <c r="F600" s="5"/>
      <c r="G600" s="5"/>
      <c r="H600" s="5"/>
    </row>
    <row r="601" spans="2:8" x14ac:dyDescent="0.35">
      <c r="B601" s="25"/>
      <c r="C601" s="4"/>
      <c r="D601" s="24"/>
      <c r="E601" s="24"/>
      <c r="F601" s="5"/>
      <c r="G601" s="5"/>
      <c r="H601" s="5"/>
    </row>
    <row r="602" spans="2:8" x14ac:dyDescent="0.35">
      <c r="B602" s="25"/>
      <c r="C602" s="4"/>
      <c r="D602" s="24"/>
      <c r="E602" s="24"/>
      <c r="F602" s="5"/>
      <c r="G602" s="5"/>
      <c r="H602" s="5"/>
    </row>
    <row r="603" spans="2:8" x14ac:dyDescent="0.35">
      <c r="B603" s="25"/>
      <c r="C603" s="4"/>
      <c r="D603" s="24"/>
      <c r="E603" s="24"/>
      <c r="F603" s="5"/>
      <c r="G603" s="5"/>
      <c r="H603" s="5"/>
    </row>
    <row r="604" spans="2:8" x14ac:dyDescent="0.35">
      <c r="B604" s="25"/>
      <c r="C604" s="4"/>
      <c r="D604" s="24"/>
      <c r="E604" s="24"/>
      <c r="F604" s="5"/>
      <c r="G604" s="5"/>
      <c r="H604" s="5"/>
    </row>
    <row r="605" spans="2:8" x14ac:dyDescent="0.35">
      <c r="B605" s="25"/>
      <c r="C605" s="4"/>
      <c r="D605" s="24"/>
      <c r="E605" s="24"/>
      <c r="F605" s="5"/>
      <c r="G605" s="5"/>
      <c r="H605" s="5"/>
    </row>
    <row r="606" spans="2:8" x14ac:dyDescent="0.35">
      <c r="B606" s="25"/>
      <c r="C606" s="4"/>
      <c r="D606" s="24"/>
      <c r="E606" s="24"/>
      <c r="F606" s="5"/>
      <c r="G606" s="5"/>
      <c r="H606" s="5"/>
    </row>
    <row r="607" spans="2:8" x14ac:dyDescent="0.35">
      <c r="B607" s="25"/>
      <c r="C607" s="4"/>
      <c r="D607" s="24"/>
      <c r="E607" s="24"/>
      <c r="F607" s="5"/>
      <c r="G607" s="5"/>
      <c r="H607" s="5"/>
    </row>
    <row r="608" spans="2:8" x14ac:dyDescent="0.35">
      <c r="B608" s="25"/>
      <c r="C608" s="4"/>
      <c r="D608" s="24"/>
      <c r="E608" s="24"/>
      <c r="F608" s="5"/>
      <c r="G608" s="5"/>
      <c r="H608" s="5"/>
    </row>
    <row r="609" spans="2:8" x14ac:dyDescent="0.35">
      <c r="B609" s="25"/>
      <c r="C609" s="4"/>
      <c r="D609" s="24"/>
      <c r="E609" s="24"/>
      <c r="F609" s="5"/>
      <c r="G609" s="5"/>
      <c r="H609" s="5"/>
    </row>
    <row r="610" spans="2:8" x14ac:dyDescent="0.35">
      <c r="B610" s="25"/>
      <c r="C610" s="4"/>
      <c r="D610" s="24"/>
      <c r="E610" s="24"/>
      <c r="F610" s="5"/>
      <c r="G610" s="5"/>
      <c r="H610" s="5"/>
    </row>
    <row r="611" spans="2:8" x14ac:dyDescent="0.35">
      <c r="B611" s="25"/>
      <c r="C611" s="4"/>
      <c r="D611" s="24"/>
      <c r="E611" s="24"/>
      <c r="F611" s="5"/>
      <c r="G611" s="5"/>
      <c r="H611" s="5"/>
    </row>
    <row r="612" spans="2:8" x14ac:dyDescent="0.35">
      <c r="B612" s="25"/>
      <c r="C612" s="4"/>
      <c r="D612" s="24"/>
      <c r="E612" s="24"/>
      <c r="F612" s="5"/>
      <c r="G612" s="5"/>
      <c r="H612" s="5"/>
    </row>
    <row r="613" spans="2:8" x14ac:dyDescent="0.35">
      <c r="B613" s="25"/>
      <c r="C613" s="4"/>
      <c r="D613" s="24"/>
      <c r="E613" s="24"/>
      <c r="F613" s="5"/>
      <c r="G613" s="5"/>
      <c r="H613" s="5"/>
    </row>
    <row r="614" spans="2:8" x14ac:dyDescent="0.35">
      <c r="B614" s="25"/>
      <c r="C614" s="4"/>
      <c r="D614" s="24"/>
      <c r="E614" s="24"/>
      <c r="F614" s="5"/>
      <c r="G614" s="5"/>
      <c r="H614" s="5"/>
    </row>
    <row r="615" spans="2:8" x14ac:dyDescent="0.35">
      <c r="B615" s="25"/>
      <c r="C615" s="4"/>
      <c r="D615" s="24"/>
      <c r="E615" s="24"/>
      <c r="F615" s="5"/>
      <c r="G615" s="5"/>
      <c r="H615" s="5"/>
    </row>
    <row r="616" spans="2:8" x14ac:dyDescent="0.35">
      <c r="B616" s="25"/>
      <c r="C616" s="4"/>
      <c r="D616" s="24"/>
      <c r="E616" s="24"/>
      <c r="F616" s="5"/>
      <c r="G616" s="5"/>
      <c r="H616" s="5"/>
    </row>
    <row r="617" spans="2:8" x14ac:dyDescent="0.35">
      <c r="B617" s="25"/>
      <c r="C617" s="4"/>
      <c r="D617" s="24"/>
      <c r="E617" s="24"/>
      <c r="F617" s="5"/>
      <c r="G617" s="5"/>
      <c r="H617" s="5"/>
    </row>
    <row r="618" spans="2:8" x14ac:dyDescent="0.35">
      <c r="B618" s="25"/>
      <c r="C618" s="4"/>
      <c r="D618" s="24"/>
      <c r="E618" s="24"/>
      <c r="F618" s="5"/>
      <c r="G618" s="5"/>
      <c r="H618" s="5"/>
    </row>
    <row r="619" spans="2:8" x14ac:dyDescent="0.35">
      <c r="B619" s="25"/>
      <c r="C619" s="4"/>
      <c r="D619" s="24"/>
      <c r="E619" s="24"/>
      <c r="F619" s="5"/>
      <c r="G619" s="5"/>
      <c r="H619" s="5"/>
    </row>
    <row r="620" spans="2:8" x14ac:dyDescent="0.35">
      <c r="B620" s="25"/>
      <c r="C620" s="4"/>
      <c r="D620" s="24"/>
      <c r="E620" s="24"/>
      <c r="F620" s="5"/>
      <c r="G620" s="5"/>
      <c r="H620" s="5"/>
    </row>
    <row r="621" spans="2:8" x14ac:dyDescent="0.35">
      <c r="B621" s="25"/>
      <c r="C621" s="4"/>
      <c r="D621" s="24"/>
      <c r="E621" s="24"/>
      <c r="F621" s="5"/>
      <c r="G621" s="5"/>
      <c r="H621" s="5"/>
    </row>
    <row r="622" spans="2:8" x14ac:dyDescent="0.35">
      <c r="B622" s="25"/>
      <c r="C622" s="4"/>
      <c r="D622" s="24"/>
      <c r="E622" s="24"/>
      <c r="F622" s="5"/>
      <c r="G622" s="5"/>
      <c r="H622" s="5"/>
    </row>
    <row r="623" spans="2:8" x14ac:dyDescent="0.35">
      <c r="B623" s="25"/>
      <c r="C623" s="4"/>
      <c r="D623" s="24"/>
      <c r="E623" s="24"/>
      <c r="F623" s="5"/>
      <c r="G623" s="5"/>
      <c r="H623" s="5"/>
    </row>
    <row r="624" spans="2:8" x14ac:dyDescent="0.35">
      <c r="B624" s="25"/>
      <c r="C624" s="4"/>
      <c r="D624" s="24"/>
      <c r="E624" s="24"/>
      <c r="F624" s="5"/>
      <c r="G624" s="5"/>
      <c r="H624" s="5"/>
    </row>
    <row r="625" spans="2:8" x14ac:dyDescent="0.35">
      <c r="B625" s="25"/>
      <c r="C625" s="4"/>
      <c r="D625" s="24"/>
      <c r="E625" s="24"/>
      <c r="F625" s="5"/>
      <c r="G625" s="5"/>
      <c r="H625" s="5"/>
    </row>
    <row r="626" spans="2:8" x14ac:dyDescent="0.35">
      <c r="B626" s="25"/>
      <c r="C626" s="4"/>
      <c r="D626" s="24"/>
      <c r="E626" s="24"/>
      <c r="F626" s="5"/>
      <c r="G626" s="5"/>
      <c r="H626" s="5"/>
    </row>
    <row r="627" spans="2:8" x14ac:dyDescent="0.35">
      <c r="B627" s="25"/>
      <c r="C627" s="4"/>
      <c r="D627" s="24"/>
      <c r="E627" s="24"/>
      <c r="F627" s="5"/>
      <c r="G627" s="5"/>
      <c r="H627" s="5"/>
    </row>
    <row r="628" spans="2:8" x14ac:dyDescent="0.35">
      <c r="B628" s="25"/>
      <c r="C628" s="4"/>
      <c r="D628" s="24"/>
      <c r="E628" s="24"/>
      <c r="F628" s="5"/>
      <c r="G628" s="5"/>
      <c r="H628" s="5"/>
    </row>
    <row r="629" spans="2:8" x14ac:dyDescent="0.35">
      <c r="B629" s="25"/>
      <c r="C629" s="4"/>
      <c r="D629" s="24"/>
      <c r="E629" s="24"/>
      <c r="F629" s="5"/>
      <c r="G629" s="5"/>
      <c r="H629" s="5"/>
    </row>
    <row r="630" spans="2:8" x14ac:dyDescent="0.35">
      <c r="B630" s="25"/>
      <c r="C630" s="4"/>
      <c r="D630" s="24"/>
      <c r="E630" s="24"/>
      <c r="F630" s="5"/>
      <c r="G630" s="5"/>
      <c r="H630" s="5"/>
    </row>
    <row r="631" spans="2:8" x14ac:dyDescent="0.35">
      <c r="B631" s="25"/>
      <c r="C631" s="4"/>
      <c r="D631" s="24"/>
      <c r="E631" s="24"/>
      <c r="F631" s="5"/>
      <c r="G631" s="5"/>
      <c r="H631" s="5"/>
    </row>
    <row r="632" spans="2:8" x14ac:dyDescent="0.35">
      <c r="B632" s="25"/>
      <c r="C632" s="4"/>
      <c r="D632" s="24"/>
      <c r="E632" s="24"/>
      <c r="F632" s="5"/>
      <c r="G632" s="5"/>
      <c r="H632" s="5"/>
    </row>
    <row r="633" spans="2:8" x14ac:dyDescent="0.35">
      <c r="B633" s="25"/>
      <c r="C633" s="4"/>
      <c r="D633" s="24"/>
      <c r="E633" s="24"/>
      <c r="F633" s="5"/>
      <c r="G633" s="5"/>
      <c r="H633" s="5"/>
    </row>
    <row r="634" spans="2:8" x14ac:dyDescent="0.35">
      <c r="B634" s="25"/>
      <c r="C634" s="4"/>
      <c r="D634" s="24"/>
      <c r="E634" s="24"/>
      <c r="F634" s="5"/>
      <c r="G634" s="5"/>
      <c r="H634" s="5"/>
    </row>
    <row r="635" spans="2:8" x14ac:dyDescent="0.35">
      <c r="B635" s="25"/>
      <c r="C635" s="4"/>
      <c r="D635" s="24"/>
      <c r="E635" s="24"/>
      <c r="F635" s="5"/>
      <c r="G635" s="5"/>
      <c r="H635" s="5"/>
    </row>
    <row r="636" spans="2:8" x14ac:dyDescent="0.35">
      <c r="B636" s="25"/>
      <c r="C636" s="4"/>
      <c r="D636" s="24"/>
      <c r="E636" s="24"/>
      <c r="F636" s="5"/>
      <c r="G636" s="5"/>
      <c r="H636" s="5"/>
    </row>
    <row r="637" spans="2:8" x14ac:dyDescent="0.35">
      <c r="B637" s="25"/>
      <c r="C637" s="4"/>
      <c r="D637" s="24"/>
      <c r="E637" s="24"/>
      <c r="F637" s="5"/>
      <c r="G637" s="5"/>
      <c r="H637" s="5"/>
    </row>
    <row r="638" spans="2:8" x14ac:dyDescent="0.35">
      <c r="B638" s="25"/>
      <c r="C638" s="4"/>
      <c r="D638" s="24"/>
      <c r="E638" s="24"/>
      <c r="F638" s="5"/>
      <c r="G638" s="5"/>
      <c r="H638" s="5"/>
    </row>
    <row r="639" spans="2:8" x14ac:dyDescent="0.35">
      <c r="B639" s="25"/>
      <c r="C639" s="4"/>
      <c r="D639" s="24"/>
      <c r="E639" s="24"/>
      <c r="F639" s="5"/>
      <c r="G639" s="5"/>
      <c r="H639" s="5"/>
    </row>
    <row r="640" spans="2:8" x14ac:dyDescent="0.35">
      <c r="B640" s="25"/>
      <c r="C640" s="4"/>
      <c r="D640" s="24"/>
      <c r="E640" s="24"/>
      <c r="F640" s="5"/>
      <c r="G640" s="5"/>
      <c r="H640" s="5"/>
    </row>
    <row r="641" spans="2:8" x14ac:dyDescent="0.35">
      <c r="B641" s="25"/>
      <c r="C641" s="4"/>
      <c r="D641" s="24"/>
      <c r="E641" s="24"/>
      <c r="F641" s="5"/>
      <c r="G641" s="5"/>
      <c r="H641" s="5"/>
    </row>
    <row r="642" spans="2:8" x14ac:dyDescent="0.35">
      <c r="B642" s="25"/>
      <c r="C642" s="4"/>
      <c r="D642" s="24"/>
      <c r="E642" s="24"/>
      <c r="F642" s="5"/>
      <c r="G642" s="5"/>
      <c r="H642" s="5"/>
    </row>
    <row r="643" spans="2:8" x14ac:dyDescent="0.35">
      <c r="B643" s="25"/>
      <c r="C643" s="4"/>
      <c r="D643" s="24"/>
      <c r="E643" s="24"/>
      <c r="F643" s="5"/>
      <c r="G643" s="5"/>
      <c r="H643" s="5"/>
    </row>
    <row r="644" spans="2:8" x14ac:dyDescent="0.35">
      <c r="B644" s="25"/>
      <c r="C644" s="4"/>
      <c r="D644" s="24"/>
      <c r="E644" s="24"/>
      <c r="F644" s="5"/>
      <c r="G644" s="5"/>
      <c r="H644" s="5"/>
    </row>
    <row r="645" spans="2:8" x14ac:dyDescent="0.35">
      <c r="B645" s="25"/>
      <c r="C645" s="4"/>
      <c r="D645" s="24"/>
      <c r="E645" s="24"/>
      <c r="F645" s="5"/>
      <c r="G645" s="5"/>
      <c r="H645" s="5"/>
    </row>
    <row r="646" spans="2:8" x14ac:dyDescent="0.35">
      <c r="B646" s="25"/>
      <c r="C646" s="4"/>
      <c r="D646" s="24"/>
      <c r="E646" s="24"/>
      <c r="F646" s="5"/>
      <c r="G646" s="5"/>
      <c r="H646" s="5"/>
    </row>
    <row r="647" spans="2:8" x14ac:dyDescent="0.35">
      <c r="B647" s="25"/>
      <c r="C647" s="4"/>
      <c r="D647" s="24"/>
      <c r="E647" s="24"/>
      <c r="F647" s="5"/>
      <c r="G647" s="5"/>
      <c r="H647" s="5"/>
    </row>
    <row r="648" spans="2:8" x14ac:dyDescent="0.35">
      <c r="B648" s="25"/>
      <c r="C648" s="4"/>
      <c r="D648" s="24"/>
      <c r="E648" s="24"/>
      <c r="F648" s="5"/>
      <c r="G648" s="5"/>
      <c r="H648" s="5"/>
    </row>
    <row r="649" spans="2:8" x14ac:dyDescent="0.35">
      <c r="B649" s="25"/>
      <c r="C649" s="4"/>
      <c r="D649" s="24"/>
      <c r="E649" s="24"/>
      <c r="F649" s="5"/>
      <c r="G649" s="5"/>
      <c r="H649" s="5"/>
    </row>
    <row r="650" spans="2:8" x14ac:dyDescent="0.35">
      <c r="B650" s="25"/>
      <c r="C650" s="4"/>
      <c r="D650" s="24"/>
      <c r="E650" s="24"/>
      <c r="F650" s="5"/>
      <c r="G650" s="5"/>
      <c r="H650" s="5"/>
    </row>
    <row r="651" spans="2:8" x14ac:dyDescent="0.35">
      <c r="B651" s="25"/>
      <c r="C651" s="4"/>
      <c r="D651" s="24"/>
      <c r="E651" s="24"/>
      <c r="F651" s="5"/>
      <c r="G651" s="5"/>
      <c r="H651" s="5"/>
    </row>
    <row r="652" spans="2:8" x14ac:dyDescent="0.35">
      <c r="B652" s="25"/>
      <c r="C652" s="4"/>
      <c r="D652" s="24"/>
      <c r="E652" s="24"/>
      <c r="F652" s="5"/>
      <c r="G652" s="5"/>
      <c r="H652" s="5"/>
    </row>
    <row r="653" spans="2:8" x14ac:dyDescent="0.35">
      <c r="B653" s="25"/>
      <c r="C653" s="4"/>
      <c r="D653" s="24"/>
      <c r="E653" s="24"/>
      <c r="F653" s="5"/>
      <c r="G653" s="5"/>
      <c r="H653" s="5"/>
    </row>
    <row r="654" spans="2:8" x14ac:dyDescent="0.35">
      <c r="B654" s="25"/>
      <c r="C654" s="4"/>
      <c r="D654" s="24"/>
      <c r="E654" s="24"/>
      <c r="F654" s="5"/>
      <c r="G654" s="5"/>
      <c r="H654" s="5"/>
    </row>
    <row r="655" spans="2:8" x14ac:dyDescent="0.35">
      <c r="B655" s="25"/>
      <c r="C655" s="4"/>
      <c r="D655" s="24"/>
      <c r="E655" s="24"/>
      <c r="F655" s="5"/>
      <c r="G655" s="5"/>
      <c r="H655" s="5"/>
    </row>
    <row r="656" spans="2:8" x14ac:dyDescent="0.35">
      <c r="B656" s="25"/>
      <c r="C656" s="4"/>
      <c r="D656" s="24"/>
      <c r="E656" s="24"/>
      <c r="F656" s="5"/>
      <c r="G656" s="5"/>
      <c r="H656" s="5"/>
    </row>
    <row r="657" spans="2:8" x14ac:dyDescent="0.35">
      <c r="B657" s="25"/>
      <c r="C657" s="4"/>
      <c r="D657" s="24"/>
      <c r="E657" s="24"/>
      <c r="F657" s="5"/>
      <c r="G657" s="5"/>
      <c r="H657" s="5"/>
    </row>
    <row r="658" spans="2:8" x14ac:dyDescent="0.35">
      <c r="B658" s="25"/>
      <c r="C658" s="4"/>
      <c r="D658" s="24"/>
      <c r="E658" s="24"/>
      <c r="F658" s="5"/>
      <c r="G658" s="5"/>
      <c r="H658" s="5"/>
    </row>
    <row r="659" spans="2:8" x14ac:dyDescent="0.35">
      <c r="B659" s="25"/>
      <c r="C659" s="4"/>
      <c r="D659" s="24"/>
      <c r="E659" s="24"/>
      <c r="F659" s="5"/>
      <c r="G659" s="5"/>
      <c r="H659" s="5"/>
    </row>
    <row r="660" spans="2:8" x14ac:dyDescent="0.35">
      <c r="B660" s="25"/>
      <c r="C660" s="4"/>
      <c r="D660" s="24"/>
      <c r="E660" s="24"/>
      <c r="F660" s="5"/>
      <c r="G660" s="5"/>
      <c r="H660" s="5"/>
    </row>
    <row r="661" spans="2:8" x14ac:dyDescent="0.35">
      <c r="B661" s="25"/>
      <c r="C661" s="4"/>
      <c r="D661" s="24"/>
      <c r="E661" s="24"/>
      <c r="F661" s="5"/>
      <c r="G661" s="5"/>
      <c r="H661" s="5"/>
    </row>
    <row r="662" spans="2:8" x14ac:dyDescent="0.35">
      <c r="B662" s="25"/>
      <c r="C662" s="4"/>
      <c r="D662" s="24"/>
      <c r="E662" s="24"/>
      <c r="F662" s="5"/>
      <c r="G662" s="5"/>
      <c r="H662" s="5"/>
    </row>
    <row r="663" spans="2:8" x14ac:dyDescent="0.35">
      <c r="B663" s="25"/>
      <c r="C663" s="4"/>
      <c r="D663" s="24"/>
      <c r="E663" s="24"/>
      <c r="F663" s="5"/>
      <c r="G663" s="5"/>
      <c r="H663" s="5"/>
    </row>
    <row r="664" spans="2:8" x14ac:dyDescent="0.35">
      <c r="B664" s="25"/>
      <c r="C664" s="4"/>
      <c r="D664" s="24"/>
      <c r="E664" s="24"/>
      <c r="F664" s="5"/>
      <c r="G664" s="5"/>
      <c r="H664" s="5"/>
    </row>
    <row r="665" spans="2:8" x14ac:dyDescent="0.35">
      <c r="B665" s="25"/>
      <c r="C665" s="4"/>
      <c r="D665" s="24"/>
      <c r="E665" s="24"/>
      <c r="F665" s="5"/>
      <c r="G665" s="5"/>
      <c r="H665" s="5"/>
    </row>
    <row r="666" spans="2:8" x14ac:dyDescent="0.35">
      <c r="B666" s="25"/>
      <c r="C666" s="4"/>
      <c r="D666" s="24"/>
      <c r="E666" s="24"/>
      <c r="F666" s="5"/>
      <c r="G666" s="5"/>
      <c r="H666" s="5"/>
    </row>
    <row r="667" spans="2:8" x14ac:dyDescent="0.35">
      <c r="B667" s="25"/>
      <c r="C667" s="4"/>
      <c r="D667" s="24"/>
      <c r="E667" s="24"/>
      <c r="F667" s="5"/>
      <c r="G667" s="5"/>
      <c r="H667" s="5"/>
    </row>
    <row r="668" spans="2:8" x14ac:dyDescent="0.35">
      <c r="B668" s="25"/>
      <c r="C668" s="4"/>
      <c r="D668" s="24"/>
      <c r="E668" s="24"/>
      <c r="F668" s="5"/>
      <c r="G668" s="5"/>
      <c r="H668" s="5"/>
    </row>
    <row r="669" spans="2:8" x14ac:dyDescent="0.35">
      <c r="B669" s="25"/>
      <c r="C669" s="4"/>
      <c r="D669" s="24"/>
      <c r="E669" s="24"/>
      <c r="F669" s="5"/>
      <c r="G669" s="5"/>
      <c r="H669" s="5"/>
    </row>
    <row r="670" spans="2:8" x14ac:dyDescent="0.35">
      <c r="B670" s="25"/>
      <c r="C670" s="4"/>
      <c r="D670" s="24"/>
      <c r="E670" s="24"/>
      <c r="F670" s="5"/>
      <c r="G670" s="5"/>
      <c r="H670" s="5"/>
    </row>
    <row r="671" spans="2:8" x14ac:dyDescent="0.35">
      <c r="B671" s="25"/>
      <c r="C671" s="4"/>
      <c r="D671" s="24"/>
      <c r="E671" s="24"/>
      <c r="F671" s="5"/>
      <c r="G671" s="5"/>
      <c r="H671" s="5"/>
    </row>
    <row r="672" spans="2:8" x14ac:dyDescent="0.35">
      <c r="B672" s="25"/>
      <c r="C672" s="4"/>
      <c r="D672" s="24"/>
      <c r="E672" s="24"/>
      <c r="F672" s="5"/>
      <c r="G672" s="5"/>
      <c r="H672" s="5"/>
    </row>
    <row r="673" spans="2:8" x14ac:dyDescent="0.35">
      <c r="B673" s="25"/>
      <c r="C673" s="4"/>
      <c r="D673" s="24"/>
      <c r="E673" s="24"/>
      <c r="F673" s="5"/>
      <c r="G673" s="5"/>
      <c r="H673" s="5"/>
    </row>
    <row r="674" spans="2:8" x14ac:dyDescent="0.35">
      <c r="B674" s="25"/>
      <c r="C674" s="4"/>
      <c r="D674" s="24"/>
      <c r="E674" s="24"/>
      <c r="F674" s="5"/>
      <c r="G674" s="5"/>
      <c r="H674" s="5"/>
    </row>
    <row r="675" spans="2:8" x14ac:dyDescent="0.35">
      <c r="B675" s="25"/>
      <c r="C675" s="4"/>
      <c r="D675" s="24"/>
      <c r="E675" s="24"/>
      <c r="F675" s="5"/>
      <c r="G675" s="5"/>
      <c r="H675" s="5"/>
    </row>
    <row r="676" spans="2:8" x14ac:dyDescent="0.35">
      <c r="B676" s="25"/>
      <c r="C676" s="4"/>
      <c r="D676" s="24"/>
      <c r="E676" s="24"/>
      <c r="F676" s="5"/>
      <c r="G676" s="5"/>
      <c r="H676" s="5"/>
    </row>
    <row r="677" spans="2:8" x14ac:dyDescent="0.35">
      <c r="B677" s="25"/>
      <c r="C677" s="4"/>
      <c r="D677" s="24"/>
      <c r="E677" s="24"/>
      <c r="F677" s="5"/>
      <c r="G677" s="5"/>
      <c r="H677" s="5"/>
    </row>
    <row r="678" spans="2:8" x14ac:dyDescent="0.35">
      <c r="B678" s="25"/>
      <c r="C678" s="4"/>
      <c r="D678" s="24"/>
      <c r="E678" s="24"/>
      <c r="F678" s="5"/>
      <c r="G678" s="5"/>
      <c r="H678" s="5"/>
    </row>
    <row r="679" spans="2:8" x14ac:dyDescent="0.35">
      <c r="B679" s="25"/>
      <c r="C679" s="4"/>
      <c r="D679" s="24"/>
      <c r="E679" s="24"/>
      <c r="F679" s="5"/>
      <c r="G679" s="5"/>
      <c r="H679" s="5"/>
    </row>
    <row r="680" spans="2:8" x14ac:dyDescent="0.35">
      <c r="B680" s="25"/>
      <c r="C680" s="4"/>
      <c r="D680" s="24"/>
      <c r="E680" s="24"/>
      <c r="F680" s="5"/>
      <c r="G680" s="5"/>
      <c r="H680" s="5"/>
    </row>
    <row r="681" spans="2:8" x14ac:dyDescent="0.35">
      <c r="B681" s="25"/>
      <c r="C681" s="4"/>
      <c r="D681" s="24"/>
      <c r="E681" s="24"/>
      <c r="F681" s="5"/>
      <c r="G681" s="5"/>
      <c r="H681" s="5"/>
    </row>
  </sheetData>
  <sheetProtection algorithmName="SHA-512" hashValue="j24fXF5ZIAxcG9yn9eL4JTi+6VXgzAJtneTzzyQ9wXH6gs0UqvZF2xHGsG/H79zam8rFcg/lVSJcNzaNwN2YOQ==" saltValue="dy6vjImLzWISnnQyklVeBg==" spinCount="100000" sheet="1" objects="1" scenarios="1"/>
  <dataValidations count="5">
    <dataValidation type="list" operator="equal" allowBlank="1" showInputMessage="1" showErrorMessage="1" errorTitle="Data Invalid" error="Data tidak boleh lebih dari 5 Karakter !" sqref="B2">
      <formula1>COUNTRY</formula1>
    </dataValidation>
    <dataValidation type="list" allowBlank="1" showInputMessage="1" showErrorMessage="1" errorTitle="Data Invalid" error="Data tidak valid" sqref="C2">
      <formula1>Kabupaten</formula1>
    </dataValidation>
    <dataValidation allowBlank="1" showInputMessage="1" showErrorMessage="1" errorTitle="Data Invalid" error="Data tidak valid" sqref="D2:E2"/>
    <dataValidation type="whole" allowBlank="1" showInputMessage="1" showErrorMessage="1" errorTitle="Data Invalid" error="Data yang diisi harus berupa angka !_x000a_Tidak boleh lebih dari 15 angka !" sqref="F2">
      <formula1>0</formula1>
      <formula2>999999999999</formula2>
    </dataValidation>
    <dataValidation type="whole" errorStyle="warning" allowBlank="1" showInputMessage="1" showErrorMessage="1" errorTitle="Data Invalid" error="Posisi akhir tidak sama dengan Posisi Awal + Mutasi !_x000a_" sqref="G2">
      <formula1>0</formula1>
      <formula2>999999999999999</formula2>
    </dataValidation>
  </dataValidation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CO3_Click">
                <anchor moveWithCells="1" sizeWithCells="1">
                  <from>
                    <xdr:col>6</xdr:col>
                    <xdr:colOff>107950</xdr:colOff>
                    <xdr:row>2</xdr:row>
                    <xdr:rowOff>63500</xdr:rowOff>
                  </from>
                  <to>
                    <xdr:col>6</xdr:col>
                    <xdr:colOff>901700</xdr:colOff>
                    <xdr:row>3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Q9"/>
  <sheetViews>
    <sheetView tabSelected="1" workbookViewId="0">
      <selection activeCell="A9" sqref="A9"/>
    </sheetView>
  </sheetViews>
  <sheetFormatPr defaultRowHeight="14.5" x14ac:dyDescent="0.35"/>
  <cols>
    <col min="1" max="1" width="4.90625" customWidth="1"/>
    <col min="2" max="2" width="26.54296875" customWidth="1"/>
    <col min="3" max="3" width="34.90625" customWidth="1"/>
    <col min="4" max="4" width="30.08984375" customWidth="1"/>
    <col min="5" max="5" width="21.90625" customWidth="1"/>
    <col min="6" max="6" width="24.453125" customWidth="1"/>
    <col min="7" max="7" width="25.6328125" customWidth="1"/>
    <col min="8" max="8" width="31.36328125" customWidth="1"/>
    <col min="9" max="9" width="106.08984375" hidden="1" customWidth="1"/>
    <col min="10" max="10" width="17.08984375" customWidth="1"/>
    <col min="11" max="11" width="9.08984375" customWidth="1"/>
    <col min="12" max="13" width="19.6328125" customWidth="1"/>
    <col min="14" max="14" width="34.90625" customWidth="1"/>
    <col min="15" max="15" width="10.453125" customWidth="1"/>
    <col min="16" max="16" width="10.54296875" customWidth="1"/>
    <col min="17" max="17" width="9.08984375" customWidth="1"/>
  </cols>
  <sheetData>
    <row r="1" spans="1:17" ht="21.75" customHeight="1" x14ac:dyDescent="0.35">
      <c r="C1" s="108" t="s">
        <v>3925</v>
      </c>
      <c r="D1" s="108"/>
      <c r="E1" s="108"/>
      <c r="F1" s="86"/>
      <c r="G1" s="86"/>
      <c r="H1" s="86"/>
    </row>
    <row r="2" spans="1:17" hidden="1" x14ac:dyDescent="0.35">
      <c r="A2" s="91">
        <f>ROW()-6</f>
        <v>-4</v>
      </c>
      <c r="B2" s="98"/>
      <c r="C2" s="98"/>
      <c r="D2" s="101"/>
      <c r="E2" s="102"/>
      <c r="F2" s="102"/>
      <c r="G2" s="102"/>
      <c r="H2" s="100"/>
      <c r="I2" s="5" t="str">
        <f>LEFT(TRIM(B2),4)&amp;LEFT(TRIM(C2),4)&amp;LEFT(TRIM(D2)&amp;REPT(" ",50),50)&amp;LEFT(TRIM(E2)&amp;REPT(" ",50),50)&amp;RIGHT(REPT("0",12)&amp;F2,12)&amp;RIGHT(REPT("0",15)&amp;G2,15)&amp;LEFT(H2,1)</f>
        <v xml:space="preserve">                                                                                                    000000000000000000000000000</v>
      </c>
      <c r="J2" s="103" t="s">
        <v>984</v>
      </c>
      <c r="M2" t="str">
        <f>IF(OR(LEFT(C2,1)="3",LEFT(C2,1)="4"),$D$5-1,$D$5)</f>
        <v>01</v>
      </c>
      <c r="O2" s="59">
        <f>DATE($C$5,M2+1,0)</f>
        <v>42035</v>
      </c>
      <c r="P2" s="59">
        <f>DATE(Q2,M2,"01")</f>
        <v>42005</v>
      </c>
      <c r="Q2">
        <f>IF(OR(LEFT(C2,1)="3",LEFT(C2,1)="4"),$C$5-2,$C$5)</f>
        <v>2015</v>
      </c>
    </row>
    <row r="3" spans="1:17" x14ac:dyDescent="0.35">
      <c r="B3" s="66" t="s">
        <v>0</v>
      </c>
      <c r="C3" s="77" t="str">
        <f>'LTDBB Header'!E3</f>
        <v>799999995</v>
      </c>
      <c r="I3" s="5"/>
      <c r="J3" s="1" t="s">
        <v>975</v>
      </c>
      <c r="K3" s="1" t="s">
        <v>3933</v>
      </c>
      <c r="M3" t="str">
        <f>RIGHT(REPT("0",4)&amp;'LTDBB Header'!E5,4)&amp;RIGHT(REPT("0",2)&amp;'LTDBB Header'!F5,2)&amp;RIGHT(REPT("0",4)&amp;K3,4)</f>
        <v>2015010003</v>
      </c>
    </row>
    <row r="4" spans="1:17" x14ac:dyDescent="0.35">
      <c r="B4" s="66" t="s">
        <v>2326</v>
      </c>
      <c r="C4" s="78" t="s">
        <v>2322</v>
      </c>
      <c r="D4" s="70" t="s">
        <v>2323</v>
      </c>
      <c r="I4" s="5"/>
      <c r="J4" s="1" t="s">
        <v>3930</v>
      </c>
      <c r="K4">
        <f>COUNTA($A$7:$A$65536)</f>
        <v>3</v>
      </c>
      <c r="L4">
        <f>COUNTA($A$10:$A$65536)</f>
        <v>0</v>
      </c>
      <c r="M4" t="str">
        <f>RIGHT(REPT("0",9)&amp;'LTDBB Header'!E3,9)&amp;K5&amp;RIGHT(REPT("0",4)&amp;'LTDBB Header'!E5,4)&amp;RIGHT(REPT("0",2)&amp;"01"&amp;'LTDBB Header'!F5,2)&amp;'LTDBB Header'!U3&amp;K3&amp;RIGHT(REPT("0",9)&amp;K4,9)</f>
        <v>799999995M20150101G0003000000003</v>
      </c>
    </row>
    <row r="5" spans="1:17" ht="15" thickBot="1" x14ac:dyDescent="0.4">
      <c r="C5" s="79">
        <f>'LTDBB Header'!E5</f>
        <v>2015</v>
      </c>
      <c r="D5" s="88" t="str">
        <f>'LTDBB Header'!F5</f>
        <v>01</v>
      </c>
      <c r="I5" s="5"/>
      <c r="J5" s="1" t="s">
        <v>976</v>
      </c>
      <c r="K5" s="1" t="s">
        <v>1</v>
      </c>
    </row>
    <row r="6" spans="1:17" ht="33" customHeight="1" x14ac:dyDescent="0.35">
      <c r="A6" s="30" t="s">
        <v>2</v>
      </c>
      <c r="B6" s="30" t="s">
        <v>3913</v>
      </c>
      <c r="C6" s="30" t="s">
        <v>3929</v>
      </c>
      <c r="D6" s="30" t="s">
        <v>3915</v>
      </c>
      <c r="E6" s="30" t="s">
        <v>3916</v>
      </c>
      <c r="F6" s="30" t="s">
        <v>3927</v>
      </c>
      <c r="G6" s="30" t="s">
        <v>3917</v>
      </c>
      <c r="H6" s="30" t="s">
        <v>3918</v>
      </c>
      <c r="I6" s="5"/>
      <c r="J6" s="97" t="s">
        <v>3936</v>
      </c>
      <c r="L6" s="55"/>
      <c r="M6" s="55"/>
    </row>
    <row r="7" spans="1:17" x14ac:dyDescent="0.35">
      <c r="A7" s="91">
        <f>ROW()-6</f>
        <v>1</v>
      </c>
      <c r="B7" s="98"/>
      <c r="C7" s="98"/>
      <c r="D7" s="101"/>
      <c r="E7" s="102"/>
      <c r="F7" s="102"/>
      <c r="G7" s="102"/>
      <c r="H7" s="100"/>
      <c r="I7" s="5" t="str">
        <f>LEFT(TRIM(B7),4)&amp;LEFT(TRIM(C7),4)&amp;LEFT(TRIM(D7)&amp;REPT(" ",50),50)&amp;LEFT(TRIM(E7)&amp;REPT(" ",50),50)&amp;RIGHT(REPT("0",12)&amp;F7,12)&amp;RIGHT(REPT("0",15)&amp;G7,15)&amp;LEFT(H7,1)</f>
        <v xml:space="preserve">                                                                                                    000000000000000000000000000</v>
      </c>
      <c r="J7" s="103" t="s">
        <v>984</v>
      </c>
      <c r="M7" t="str">
        <f>IF(OR(LEFT(C7,1)="3",LEFT(C7,1)="4"),$D$5-1,$D$5)</f>
        <v>01</v>
      </c>
      <c r="O7" s="59">
        <f>DATE($C$5,M7+1,0)</f>
        <v>42035</v>
      </c>
      <c r="P7" s="59">
        <f>DATE(Q7,M7,"01")</f>
        <v>42005</v>
      </c>
      <c r="Q7">
        <f>IF(OR(LEFT(C7,1)="3",LEFT(C7,1)="4"),$C$5-2,$C$5)</f>
        <v>2015</v>
      </c>
    </row>
    <row r="8" spans="1:17" x14ac:dyDescent="0.35">
      <c r="A8" s="91">
        <f>ROW()-6</f>
        <v>2</v>
      </c>
      <c r="B8" s="98"/>
      <c r="C8" s="98"/>
      <c r="D8" s="101"/>
      <c r="E8" s="102"/>
      <c r="F8" s="102"/>
      <c r="G8" s="102"/>
      <c r="H8" s="100"/>
      <c r="I8" s="5" t="str">
        <f>LEFT(TRIM(B8),4)&amp;LEFT(TRIM(C8),4)&amp;LEFT(TRIM(D8)&amp;REPT(" ",50),50)&amp;LEFT(TRIM(E8)&amp;REPT(" ",50),50)&amp;RIGHT(REPT("0",12)&amp;F8,12)&amp;RIGHT(REPT("0",15)&amp;G8,15)&amp;LEFT(H8,1)</f>
        <v xml:space="preserve">                                                                                                    000000000000000000000000000</v>
      </c>
      <c r="J8" s="103" t="s">
        <v>984</v>
      </c>
      <c r="M8" t="str">
        <f>IF(OR(LEFT(C8,1)="3",LEFT(C8,1)="4"),$D$5-1,$D$5)</f>
        <v>01</v>
      </c>
      <c r="O8" s="59">
        <f>DATE($C$5,M8+1,0)</f>
        <v>42035</v>
      </c>
      <c r="P8" s="59">
        <f>DATE(Q8,M8,"01")</f>
        <v>42005</v>
      </c>
      <c r="Q8">
        <f>IF(OR(LEFT(C8,1)="3",LEFT(C8,1)="4"),$C$5-2,$C$5)</f>
        <v>2015</v>
      </c>
    </row>
    <row r="9" spans="1:17" x14ac:dyDescent="0.35">
      <c r="A9" s="91">
        <f>ROW()-6</f>
        <v>3</v>
      </c>
      <c r="B9" s="98"/>
      <c r="C9" s="98"/>
      <c r="D9" s="101"/>
      <c r="E9" s="102"/>
      <c r="F9" s="102"/>
      <c r="G9" s="102"/>
      <c r="H9" s="100"/>
      <c r="I9" s="5" t="str">
        <f>LEFT(TRIM(B9),4)&amp;LEFT(TRIM(C9),4)&amp;LEFT(TRIM(D9)&amp;REPT(" ",50),50)&amp;LEFT(TRIM(E9)&amp;REPT(" ",50),50)&amp;RIGHT(REPT("0",12)&amp;F9,12)&amp;RIGHT(REPT("0",15)&amp;G9,15)&amp;LEFT(H9,1)</f>
        <v xml:space="preserve">                                                                                                    000000000000000000000000000</v>
      </c>
      <c r="J9" s="103" t="s">
        <v>984</v>
      </c>
      <c r="M9" t="str">
        <f>IF(OR(LEFT(C9,1)="3",LEFT(C9,1)="4"),$D$5-1,$D$5)</f>
        <v>01</v>
      </c>
      <c r="O9" s="59">
        <f>DATE($C$5,M9+1,0)</f>
        <v>42035</v>
      </c>
      <c r="P9" s="59">
        <f>DATE(Q9,M9,"01")</f>
        <v>42005</v>
      </c>
      <c r="Q9">
        <f>IF(OR(LEFT(C9,1)="3",LEFT(C9,1)="4"),$C$5-2,$C$5)</f>
        <v>2015</v>
      </c>
    </row>
  </sheetData>
  <sheetProtection algorithmName="SHA-512" hashValue="TcXWKaw+C2WNdTeh1ro23qsr11L0jmd8wMjjtv1Ihz+EFJ85hbanY+SlJRqgIqI6iO7EIb4apBsVYbxYwjy+dw==" saltValue="Mawz4LTJIKjYZjMMeKwDOA==" spinCount="100000" sheet="1" objects="1" scenarios="1"/>
  <mergeCells count="1">
    <mergeCell ref="C1:E1"/>
  </mergeCells>
  <dataValidations count="7">
    <dataValidation allowBlank="1" showInputMessage="1" showErrorMessage="1" errorTitle="Date Invalid" error="Tanggal tidak valid !" sqref="D2 D7:D9"/>
    <dataValidation type="whole" allowBlank="1" showInputMessage="1" showErrorMessage="1" errorTitle="Data Invalid" error="Data tidak valid" sqref="G2 G7:G9">
      <formula1>0</formula1>
      <formula2>999999999999999</formula2>
    </dataValidation>
    <dataValidation type="whole" allowBlank="1" showInputMessage="1" showErrorMessage="1" errorTitle="Data Invalid" error="Data tidak valid" sqref="F2 F7:F9">
      <formula1>0</formula1>
      <formula2>999999999999</formula2>
    </dataValidation>
    <dataValidation type="list" allowBlank="1" showInputMessage="1" showErrorMessage="1" errorTitle="Data Invalid" error="Data yang diisi harus berupa angka !_x000a_Data tidak boleh lebih dari 5 angka !" sqref="B2 B7:B9">
      <formula1>Kabupaten</formula1>
    </dataValidation>
    <dataValidation type="list" allowBlank="1" showInputMessage="1" showErrorMessage="1" errorTitle="Data Invalid" error="Data tidak valid" sqref="C2 C7:C9">
      <formula1>Kabupaten</formula1>
    </dataValidation>
    <dataValidation type="list" allowBlank="1" showInputMessage="1" showErrorMessage="1" errorTitle="Data Invalid" error="Data yang diisi harus berupa angka &gt; 0 !_x000a_Tidak boleh lebih dari 15 angka !" sqref="H2 H7:H9">
      <formula1>TujuanTransaksi</formula1>
    </dataValidation>
    <dataValidation allowBlank="1" showInputMessage="1" showErrorMessage="1" errorTitle="Data Invalid" error="Data tidak valid" sqref="E2 E7:E9"/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CO4_Click">
                <anchor moveWithCells="1" sizeWithCells="1">
                  <from>
                    <xdr:col>7</xdr:col>
                    <xdr:colOff>101600</xdr:colOff>
                    <xdr:row>2</xdr:row>
                    <xdr:rowOff>50800</xdr:rowOff>
                  </from>
                  <to>
                    <xdr:col>7</xdr:col>
                    <xdr:colOff>946150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I625"/>
  <sheetViews>
    <sheetView topLeftCell="N21" zoomScale="85" zoomScaleNormal="85" workbookViewId="0">
      <selection activeCell="P28" sqref="P28"/>
    </sheetView>
  </sheetViews>
  <sheetFormatPr defaultRowHeight="14.5" x14ac:dyDescent="0.35"/>
  <cols>
    <col min="1" max="1" width="60.453125" bestFit="1" customWidth="1"/>
    <col min="2" max="2" width="60.36328125" bestFit="1" customWidth="1"/>
    <col min="3" max="3" width="99.453125" bestFit="1" customWidth="1"/>
    <col min="4" max="4" width="79.90625" bestFit="1" customWidth="1"/>
    <col min="5" max="5" width="35.54296875" bestFit="1" customWidth="1"/>
    <col min="6" max="6" width="21" bestFit="1" customWidth="1"/>
    <col min="9" max="9" width="29.90625" customWidth="1"/>
    <col min="14" max="14" width="4.90625" customWidth="1"/>
    <col min="15" max="15" width="4.08984375" customWidth="1"/>
    <col min="17" max="17" width="47.08984375" customWidth="1"/>
    <col min="22" max="22" width="29.36328125" bestFit="1" customWidth="1"/>
    <col min="24" max="24" width="16.54296875" customWidth="1"/>
    <col min="27" max="27" width="49.54296875" bestFit="1" customWidth="1"/>
    <col min="28" max="28" width="44.6328125" bestFit="1" customWidth="1"/>
    <col min="32" max="32" width="25.90625" customWidth="1"/>
    <col min="39" max="39" width="33" customWidth="1"/>
    <col min="51" max="51" width="96.36328125" bestFit="1" customWidth="1"/>
    <col min="72" max="72" width="151.453125" bestFit="1" customWidth="1"/>
  </cols>
  <sheetData>
    <row r="1" spans="1:87" ht="15" thickBot="1" x14ac:dyDescent="0.4">
      <c r="A1" s="3" t="s">
        <v>4</v>
      </c>
      <c r="B1" s="3"/>
      <c r="C1" s="3" t="s">
        <v>1995</v>
      </c>
      <c r="D1" s="6" t="s">
        <v>5</v>
      </c>
      <c r="E1" s="7" t="s">
        <v>6</v>
      </c>
      <c r="I1" s="109" t="s">
        <v>29</v>
      </c>
      <c r="J1" s="110"/>
      <c r="N1" s="3" t="s">
        <v>71</v>
      </c>
      <c r="Q1" s="3" t="s">
        <v>317</v>
      </c>
      <c r="U1" s="3" t="s">
        <v>319</v>
      </c>
      <c r="X1" s="3" t="s">
        <v>320</v>
      </c>
      <c r="AA1" s="3" t="s">
        <v>876</v>
      </c>
      <c r="AE1" s="3" t="s">
        <v>881</v>
      </c>
      <c r="AJ1" s="3" t="s">
        <v>1644</v>
      </c>
      <c r="AM1" s="3" t="s">
        <v>1729</v>
      </c>
      <c r="AP1" s="3" t="s">
        <v>1734</v>
      </c>
      <c r="AS1" s="3" t="s">
        <v>1739</v>
      </c>
      <c r="AV1" s="3" t="s">
        <v>1740</v>
      </c>
      <c r="AY1" s="3" t="s">
        <v>1741</v>
      </c>
      <c r="AZ1" s="3" t="s">
        <v>3895</v>
      </c>
      <c r="BB1" s="3" t="s">
        <v>1742</v>
      </c>
      <c r="BE1" s="3" t="s">
        <v>1779</v>
      </c>
      <c r="BH1" s="3" t="s">
        <v>1780</v>
      </c>
      <c r="BK1" s="3" t="s">
        <v>1781</v>
      </c>
      <c r="BN1" s="3" t="s">
        <v>1782</v>
      </c>
      <c r="BQ1" t="s">
        <v>1807</v>
      </c>
      <c r="BT1" t="s">
        <v>2049</v>
      </c>
      <c r="BW1" s="3" t="s">
        <v>1806</v>
      </c>
      <c r="CA1" s="3" t="s">
        <v>3919</v>
      </c>
      <c r="CD1" s="3" t="s">
        <v>3918</v>
      </c>
    </row>
    <row r="2" spans="1:87" ht="16" thickBot="1" x14ac:dyDescent="0.4">
      <c r="A2" t="s">
        <v>2109</v>
      </c>
      <c r="C2" t="s">
        <v>2357</v>
      </c>
      <c r="D2" s="22" t="s">
        <v>53</v>
      </c>
      <c r="E2" s="9" t="s">
        <v>7</v>
      </c>
      <c r="I2" s="6" t="s">
        <v>5</v>
      </c>
      <c r="J2" s="7" t="s">
        <v>6</v>
      </c>
      <c r="N2" s="20" t="s">
        <v>53</v>
      </c>
      <c r="O2" s="21" t="s">
        <v>54</v>
      </c>
      <c r="Q2" t="s">
        <v>3042</v>
      </c>
      <c r="R2" t="s">
        <v>312</v>
      </c>
      <c r="U2" s="26">
        <v>1400010</v>
      </c>
      <c r="V2" t="s">
        <v>985</v>
      </c>
      <c r="X2" s="12" t="s">
        <v>1037</v>
      </c>
      <c r="Y2" t="s">
        <v>381</v>
      </c>
      <c r="AA2" s="12" t="s">
        <v>1068</v>
      </c>
      <c r="AB2" t="s">
        <v>674</v>
      </c>
      <c r="AE2" t="s">
        <v>1592</v>
      </c>
      <c r="AF2" t="s">
        <v>882</v>
      </c>
      <c r="AJ2" t="s">
        <v>2487</v>
      </c>
      <c r="AM2" t="s">
        <v>2652</v>
      </c>
      <c r="AP2" s="82" t="s">
        <v>2969</v>
      </c>
      <c r="AS2" t="s">
        <v>2531</v>
      </c>
      <c r="AV2" t="s">
        <v>2391</v>
      </c>
      <c r="AY2" t="s">
        <v>3901</v>
      </c>
      <c r="AZ2" t="s">
        <v>3883</v>
      </c>
      <c r="BB2" t="s">
        <v>2371</v>
      </c>
      <c r="BE2" t="s">
        <v>1743</v>
      </c>
      <c r="BH2" s="74" t="s">
        <v>2411</v>
      </c>
      <c r="BK2" t="s">
        <v>2292</v>
      </c>
      <c r="BN2" t="s">
        <v>2327</v>
      </c>
      <c r="BQ2" t="s">
        <v>1809</v>
      </c>
      <c r="BT2" s="81" t="s">
        <v>2542</v>
      </c>
      <c r="BW2" t="s">
        <v>3273</v>
      </c>
      <c r="CA2" t="s">
        <v>3920</v>
      </c>
      <c r="CD2" s="95" t="s">
        <v>3920</v>
      </c>
      <c r="CI2" s="95"/>
    </row>
    <row r="3" spans="1:87" ht="15.5" x14ac:dyDescent="0.35">
      <c r="A3" t="s">
        <v>2110</v>
      </c>
      <c r="C3" t="s">
        <v>2358</v>
      </c>
      <c r="D3" s="22" t="s">
        <v>55</v>
      </c>
      <c r="E3" s="9" t="s">
        <v>8</v>
      </c>
      <c r="I3" s="22" t="s">
        <v>53</v>
      </c>
      <c r="J3" s="9" t="s">
        <v>30</v>
      </c>
      <c r="N3" s="20" t="s">
        <v>55</v>
      </c>
      <c r="O3" s="21" t="s">
        <v>56</v>
      </c>
      <c r="Q3" t="s">
        <v>3256</v>
      </c>
      <c r="R3" t="s">
        <v>227</v>
      </c>
      <c r="U3" s="26">
        <v>2400010</v>
      </c>
      <c r="V3" t="s">
        <v>986</v>
      </c>
      <c r="X3" s="12" t="s">
        <v>1038</v>
      </c>
      <c r="Y3" t="s">
        <v>382</v>
      </c>
      <c r="AA3" s="12" t="s">
        <v>1069</v>
      </c>
      <c r="AB3" t="s">
        <v>675</v>
      </c>
      <c r="AE3" t="s">
        <v>1593</v>
      </c>
      <c r="AF3" t="s">
        <v>883</v>
      </c>
      <c r="AJ3" t="s">
        <v>2488</v>
      </c>
      <c r="AM3" t="s">
        <v>2653</v>
      </c>
      <c r="AP3" s="82" t="s">
        <v>2970</v>
      </c>
      <c r="AS3" t="s">
        <v>2535</v>
      </c>
      <c r="AV3" t="s">
        <v>2392</v>
      </c>
      <c r="AY3" t="s">
        <v>3902</v>
      </c>
      <c r="AZ3" t="s">
        <v>3884</v>
      </c>
      <c r="BB3" t="s">
        <v>2372</v>
      </c>
      <c r="BE3" t="s">
        <v>1761</v>
      </c>
      <c r="BH3" s="74" t="s">
        <v>2412</v>
      </c>
      <c r="BK3" t="s">
        <v>2293</v>
      </c>
      <c r="BN3" t="s">
        <v>2328</v>
      </c>
      <c r="BQ3" t="s">
        <v>1808</v>
      </c>
      <c r="BT3" s="81" t="s">
        <v>2543</v>
      </c>
      <c r="BW3" t="s">
        <v>3274</v>
      </c>
      <c r="CA3" t="s">
        <v>3921</v>
      </c>
      <c r="CD3" s="95" t="s">
        <v>3938</v>
      </c>
      <c r="CG3" s="95"/>
    </row>
    <row r="4" spans="1:87" ht="15.5" x14ac:dyDescent="0.35">
      <c r="A4" t="s">
        <v>2111</v>
      </c>
      <c r="C4" t="s">
        <v>2359</v>
      </c>
      <c r="D4" s="22" t="s">
        <v>57</v>
      </c>
      <c r="E4" s="9" t="s">
        <v>9</v>
      </c>
      <c r="I4" s="22" t="s">
        <v>55</v>
      </c>
      <c r="J4" s="9" t="s">
        <v>31</v>
      </c>
      <c r="N4" s="20" t="s">
        <v>57</v>
      </c>
      <c r="O4" s="21" t="s">
        <v>58</v>
      </c>
      <c r="Q4" t="s">
        <v>3037</v>
      </c>
      <c r="R4" t="s">
        <v>228</v>
      </c>
      <c r="U4" s="26">
        <v>3400010</v>
      </c>
      <c r="V4" t="s">
        <v>987</v>
      </c>
      <c r="X4" s="12" t="s">
        <v>1039</v>
      </c>
      <c r="Y4" t="s">
        <v>383</v>
      </c>
      <c r="AA4" s="12" t="s">
        <v>1070</v>
      </c>
      <c r="AB4" t="s">
        <v>676</v>
      </c>
      <c r="AE4" s="3" t="s">
        <v>892</v>
      </c>
      <c r="AJ4" t="s">
        <v>2489</v>
      </c>
      <c r="AM4" t="s">
        <v>3034</v>
      </c>
      <c r="AP4" s="82" t="s">
        <v>2971</v>
      </c>
      <c r="AS4" t="s">
        <v>2537</v>
      </c>
      <c r="AV4" t="s">
        <v>2393</v>
      </c>
      <c r="AY4" t="s">
        <v>3903</v>
      </c>
      <c r="AZ4" t="s">
        <v>3885</v>
      </c>
      <c r="BB4" t="s">
        <v>2373</v>
      </c>
      <c r="BE4" t="s">
        <v>1744</v>
      </c>
      <c r="BH4" s="74" t="s">
        <v>2413</v>
      </c>
      <c r="BK4" t="s">
        <v>2294</v>
      </c>
      <c r="BN4" t="s">
        <v>2329</v>
      </c>
      <c r="BQ4" t="s">
        <v>1810</v>
      </c>
      <c r="BT4" s="81" t="s">
        <v>2544</v>
      </c>
      <c r="BW4" t="s">
        <v>2950</v>
      </c>
      <c r="CA4" t="s">
        <v>3922</v>
      </c>
      <c r="CD4" s="96" t="s">
        <v>3939</v>
      </c>
      <c r="CH4" s="96"/>
    </row>
    <row r="5" spans="1:87" x14ac:dyDescent="0.35">
      <c r="A5" t="s">
        <v>2112</v>
      </c>
      <c r="C5" t="s">
        <v>2360</v>
      </c>
      <c r="D5" s="22" t="s">
        <v>59</v>
      </c>
      <c r="E5" s="9" t="s">
        <v>10</v>
      </c>
      <c r="I5" s="22" t="s">
        <v>57</v>
      </c>
      <c r="J5" s="9" t="s">
        <v>32</v>
      </c>
      <c r="N5" s="20" t="s">
        <v>59</v>
      </c>
      <c r="O5" s="21" t="s">
        <v>60</v>
      </c>
      <c r="Q5" t="s">
        <v>3046</v>
      </c>
      <c r="R5" t="s">
        <v>72</v>
      </c>
      <c r="U5" s="26">
        <v>4400010</v>
      </c>
      <c r="V5" t="s">
        <v>988</v>
      </c>
      <c r="W5" t="s">
        <v>1040</v>
      </c>
      <c r="X5" s="27" t="s">
        <v>1040</v>
      </c>
      <c r="Y5" t="s">
        <v>322</v>
      </c>
      <c r="AA5" s="12" t="s">
        <v>1071</v>
      </c>
      <c r="AB5" t="s">
        <v>677</v>
      </c>
      <c r="AE5" s="12" t="s">
        <v>1635</v>
      </c>
      <c r="AF5" s="28" t="s">
        <v>884</v>
      </c>
      <c r="AJ5" t="s">
        <v>2490</v>
      </c>
      <c r="AM5" t="s">
        <v>2654</v>
      </c>
      <c r="AP5" s="82" t="s">
        <v>2972</v>
      </c>
      <c r="AS5" t="s">
        <v>2532</v>
      </c>
      <c r="AV5" t="s">
        <v>2394</v>
      </c>
      <c r="AY5" t="s">
        <v>3904</v>
      </c>
      <c r="AZ5" t="s">
        <v>3886</v>
      </c>
      <c r="BB5" t="s">
        <v>2374</v>
      </c>
      <c r="BE5" t="s">
        <v>1762</v>
      </c>
      <c r="BH5" s="74" t="s">
        <v>2414</v>
      </c>
      <c r="BK5" t="s">
        <v>2295</v>
      </c>
      <c r="BN5" t="s">
        <v>2330</v>
      </c>
      <c r="BQ5" t="s">
        <v>1811</v>
      </c>
      <c r="BT5" s="81" t="s">
        <v>2545</v>
      </c>
      <c r="BW5" t="s">
        <v>3272</v>
      </c>
    </row>
    <row r="6" spans="1:87" x14ac:dyDescent="0.35">
      <c r="A6" t="s">
        <v>2113</v>
      </c>
      <c r="C6" t="s">
        <v>2361</v>
      </c>
      <c r="D6" s="22" t="s">
        <v>61</v>
      </c>
      <c r="E6" s="9" t="s">
        <v>11</v>
      </c>
      <c r="I6" s="22" t="s">
        <v>59</v>
      </c>
      <c r="J6" s="9" t="s">
        <v>33</v>
      </c>
      <c r="N6" s="20" t="s">
        <v>61</v>
      </c>
      <c r="O6" s="21" t="s">
        <v>62</v>
      </c>
      <c r="Q6" t="s">
        <v>3044</v>
      </c>
      <c r="R6" t="s">
        <v>73</v>
      </c>
      <c r="U6">
        <v>5400010</v>
      </c>
      <c r="V6" t="s">
        <v>989</v>
      </c>
      <c r="W6" t="s">
        <v>1041</v>
      </c>
      <c r="X6" s="12" t="s">
        <v>1041</v>
      </c>
      <c r="Y6" t="s">
        <v>323</v>
      </c>
      <c r="AA6" s="12" t="s">
        <v>1072</v>
      </c>
      <c r="AB6" t="s">
        <v>678</v>
      </c>
      <c r="AE6" s="12" t="s">
        <v>1636</v>
      </c>
      <c r="AF6" s="28" t="s">
        <v>885</v>
      </c>
      <c r="AJ6" t="s">
        <v>2491</v>
      </c>
      <c r="AM6" t="s">
        <v>2655</v>
      </c>
      <c r="AP6" s="82" t="s">
        <v>2973</v>
      </c>
      <c r="AS6" t="s">
        <v>2536</v>
      </c>
      <c r="AV6" t="s">
        <v>2395</v>
      </c>
      <c r="AY6" t="s">
        <v>3905</v>
      </c>
      <c r="AZ6" t="s">
        <v>3887</v>
      </c>
      <c r="BB6" t="s">
        <v>2375</v>
      </c>
      <c r="BE6" t="s">
        <v>1745</v>
      </c>
      <c r="BH6" s="74" t="s">
        <v>2415</v>
      </c>
      <c r="BK6" t="s">
        <v>3711</v>
      </c>
      <c r="BN6" t="s">
        <v>2331</v>
      </c>
      <c r="BQ6" t="s">
        <v>1812</v>
      </c>
      <c r="BT6" s="81" t="s">
        <v>2546</v>
      </c>
    </row>
    <row r="7" spans="1:87" x14ac:dyDescent="0.35">
      <c r="A7" t="s">
        <v>2114</v>
      </c>
      <c r="C7" t="s">
        <v>2362</v>
      </c>
      <c r="D7" s="22" t="s">
        <v>63</v>
      </c>
      <c r="E7" s="10" t="s">
        <v>12</v>
      </c>
      <c r="I7" s="22" t="s">
        <v>61</v>
      </c>
      <c r="J7" s="9" t="s">
        <v>34</v>
      </c>
      <c r="N7" s="20" t="s">
        <v>63</v>
      </c>
      <c r="O7" s="21" t="s">
        <v>64</v>
      </c>
      <c r="Q7" t="s">
        <v>3039</v>
      </c>
      <c r="R7" t="s">
        <v>74</v>
      </c>
      <c r="U7">
        <v>6400010</v>
      </c>
      <c r="V7" t="s">
        <v>989</v>
      </c>
      <c r="W7" t="s">
        <v>1042</v>
      </c>
      <c r="X7" t="s">
        <v>1042</v>
      </c>
      <c r="Y7" t="s">
        <v>324</v>
      </c>
      <c r="AA7" s="12" t="s">
        <v>1073</v>
      </c>
      <c r="AB7" t="s">
        <v>679</v>
      </c>
      <c r="AE7" s="12" t="s">
        <v>1637</v>
      </c>
      <c r="AF7" s="28" t="s">
        <v>886</v>
      </c>
      <c r="AJ7" t="s">
        <v>2492</v>
      </c>
      <c r="AM7" t="s">
        <v>2656</v>
      </c>
      <c r="AP7" s="82" t="s">
        <v>2974</v>
      </c>
      <c r="AS7" t="s">
        <v>2538</v>
      </c>
      <c r="AV7" t="s">
        <v>2396</v>
      </c>
      <c r="AY7" t="s">
        <v>3906</v>
      </c>
      <c r="AZ7" t="s">
        <v>3888</v>
      </c>
      <c r="BB7" t="s">
        <v>2376</v>
      </c>
      <c r="BE7" t="s">
        <v>1763</v>
      </c>
      <c r="BH7" s="74" t="s">
        <v>2416</v>
      </c>
      <c r="BK7" t="s">
        <v>3712</v>
      </c>
      <c r="BN7" t="s">
        <v>3715</v>
      </c>
      <c r="BQ7" t="s">
        <v>1813</v>
      </c>
      <c r="BT7" s="81" t="s">
        <v>2547</v>
      </c>
    </row>
    <row r="8" spans="1:87" x14ac:dyDescent="0.35">
      <c r="A8" t="s">
        <v>2115</v>
      </c>
      <c r="C8" t="s">
        <v>2363</v>
      </c>
      <c r="D8" s="22" t="s">
        <v>65</v>
      </c>
      <c r="E8" s="10" t="s">
        <v>13</v>
      </c>
      <c r="I8" s="22" t="s">
        <v>63</v>
      </c>
      <c r="J8" s="10" t="s">
        <v>35</v>
      </c>
      <c r="N8" s="20" t="s">
        <v>65</v>
      </c>
      <c r="O8" s="21" t="s">
        <v>66</v>
      </c>
      <c r="Q8" t="s">
        <v>3048</v>
      </c>
      <c r="R8" t="s">
        <v>75</v>
      </c>
      <c r="W8" t="s">
        <v>1043</v>
      </c>
      <c r="X8" t="s">
        <v>1043</v>
      </c>
      <c r="Y8" t="s">
        <v>325</v>
      </c>
      <c r="AA8" s="12" t="s">
        <v>1074</v>
      </c>
      <c r="AB8" t="s">
        <v>680</v>
      </c>
      <c r="AE8" s="12" t="s">
        <v>1638</v>
      </c>
      <c r="AF8" s="28" t="s">
        <v>887</v>
      </c>
      <c r="AJ8" t="s">
        <v>2493</v>
      </c>
      <c r="AM8" t="s">
        <v>2546</v>
      </c>
      <c r="AP8" s="82" t="s">
        <v>2975</v>
      </c>
      <c r="AS8" t="s">
        <v>3647</v>
      </c>
      <c r="AV8" t="s">
        <v>2397</v>
      </c>
      <c r="AY8" t="s">
        <v>3907</v>
      </c>
      <c r="AZ8" t="s">
        <v>3889</v>
      </c>
      <c r="BB8" t="s">
        <v>2377</v>
      </c>
      <c r="BE8" t="s">
        <v>2280</v>
      </c>
      <c r="BH8" s="74" t="s">
        <v>2417</v>
      </c>
      <c r="BK8" t="s">
        <v>3713</v>
      </c>
      <c r="BN8" t="s">
        <v>3716</v>
      </c>
      <c r="BQ8" t="s">
        <v>1814</v>
      </c>
      <c r="BT8" s="81" t="s">
        <v>2548</v>
      </c>
    </row>
    <row r="9" spans="1:87" x14ac:dyDescent="0.35">
      <c r="A9" t="s">
        <v>2116</v>
      </c>
      <c r="C9" t="s">
        <v>2364</v>
      </c>
      <c r="D9" s="22" t="s">
        <v>67</v>
      </c>
      <c r="E9" s="10" t="s">
        <v>14</v>
      </c>
      <c r="I9" s="22" t="s">
        <v>65</v>
      </c>
      <c r="J9" s="9" t="s">
        <v>36</v>
      </c>
      <c r="N9" s="20" t="s">
        <v>67</v>
      </c>
      <c r="O9" s="21" t="s">
        <v>68</v>
      </c>
      <c r="Q9" t="s">
        <v>3184</v>
      </c>
      <c r="R9" t="s">
        <v>76</v>
      </c>
      <c r="W9" t="s">
        <v>1044</v>
      </c>
      <c r="X9" t="s">
        <v>1044</v>
      </c>
      <c r="Y9" t="s">
        <v>326</v>
      </c>
      <c r="AA9" s="12" t="s">
        <v>1075</v>
      </c>
      <c r="AB9" t="s">
        <v>681</v>
      </c>
      <c r="AE9" s="12" t="s">
        <v>1639</v>
      </c>
      <c r="AF9" s="28" t="s">
        <v>888</v>
      </c>
      <c r="AJ9" t="s">
        <v>2494</v>
      </c>
      <c r="AM9" t="s">
        <v>2547</v>
      </c>
      <c r="AP9" s="82" t="s">
        <v>2976</v>
      </c>
      <c r="AS9" t="s">
        <v>3648</v>
      </c>
      <c r="AV9" t="s">
        <v>2398</v>
      </c>
      <c r="AY9" t="s">
        <v>3908</v>
      </c>
      <c r="AZ9" t="s">
        <v>3890</v>
      </c>
      <c r="BB9" t="s">
        <v>2378</v>
      </c>
      <c r="BE9" t="s">
        <v>2281</v>
      </c>
      <c r="BH9" s="74" t="s">
        <v>2418</v>
      </c>
      <c r="BK9" t="s">
        <v>3714</v>
      </c>
      <c r="BN9" t="s">
        <v>3717</v>
      </c>
      <c r="BQ9" t="s">
        <v>1815</v>
      </c>
      <c r="BT9" s="81" t="s">
        <v>2549</v>
      </c>
    </row>
    <row r="10" spans="1:87" x14ac:dyDescent="0.35">
      <c r="A10" t="s">
        <v>2117</v>
      </c>
      <c r="C10" t="s">
        <v>2365</v>
      </c>
      <c r="D10" s="22" t="s">
        <v>69</v>
      </c>
      <c r="E10" s="10" t="s">
        <v>15</v>
      </c>
      <c r="I10" s="22" t="s">
        <v>67</v>
      </c>
      <c r="J10" s="9" t="s">
        <v>37</v>
      </c>
      <c r="N10" s="20" t="s">
        <v>69</v>
      </c>
      <c r="O10" s="21" t="s">
        <v>70</v>
      </c>
      <c r="Q10" t="s">
        <v>3043</v>
      </c>
      <c r="R10" t="s">
        <v>77</v>
      </c>
      <c r="W10" t="s">
        <v>1045</v>
      </c>
      <c r="X10" t="s">
        <v>1045</v>
      </c>
      <c r="Y10" t="s">
        <v>327</v>
      </c>
      <c r="AA10" s="12" t="s">
        <v>1076</v>
      </c>
      <c r="AB10" t="s">
        <v>682</v>
      </c>
      <c r="AE10" s="12" t="s">
        <v>1640</v>
      </c>
      <c r="AF10" s="28" t="s">
        <v>889</v>
      </c>
      <c r="AJ10" t="s">
        <v>2495</v>
      </c>
      <c r="AM10" t="s">
        <v>2657</v>
      </c>
      <c r="AP10" s="82" t="s">
        <v>2977</v>
      </c>
      <c r="AS10" t="s">
        <v>3649</v>
      </c>
      <c r="AV10" t="s">
        <v>2399</v>
      </c>
      <c r="AY10" t="s">
        <v>3909</v>
      </c>
      <c r="AZ10" t="s">
        <v>3891</v>
      </c>
      <c r="BB10" t="s">
        <v>2379</v>
      </c>
      <c r="BE10" t="s">
        <v>1746</v>
      </c>
      <c r="BH10" s="74" t="s">
        <v>2419</v>
      </c>
      <c r="BK10" t="s">
        <v>2296</v>
      </c>
      <c r="BN10" t="s">
        <v>3718</v>
      </c>
      <c r="BQ10" t="s">
        <v>1816</v>
      </c>
      <c r="BT10" s="81" t="s">
        <v>2550</v>
      </c>
    </row>
    <row r="11" spans="1:87" x14ac:dyDescent="0.35">
      <c r="A11" t="s">
        <v>2118</v>
      </c>
      <c r="C11" t="s">
        <v>2366</v>
      </c>
      <c r="D11" s="8">
        <v>10</v>
      </c>
      <c r="E11" s="9" t="s">
        <v>16</v>
      </c>
      <c r="I11" s="22" t="s">
        <v>69</v>
      </c>
      <c r="J11" s="9" t="s">
        <v>38</v>
      </c>
      <c r="Q11" t="s">
        <v>3045</v>
      </c>
      <c r="R11" t="s">
        <v>78</v>
      </c>
      <c r="V11" s="28"/>
      <c r="W11" t="s">
        <v>1046</v>
      </c>
      <c r="X11" t="s">
        <v>1046</v>
      </c>
      <c r="Y11" t="s">
        <v>328</v>
      </c>
      <c r="AA11" s="12" t="s">
        <v>1077</v>
      </c>
      <c r="AB11" t="s">
        <v>683</v>
      </c>
      <c r="AE11" s="12" t="s">
        <v>1641</v>
      </c>
      <c r="AF11" s="28" t="s">
        <v>890</v>
      </c>
      <c r="AJ11" t="s">
        <v>2496</v>
      </c>
      <c r="AM11" t="s">
        <v>2658</v>
      </c>
      <c r="AP11" s="82" t="s">
        <v>2978</v>
      </c>
      <c r="AS11" t="s">
        <v>3650</v>
      </c>
      <c r="AV11" t="s">
        <v>2400</v>
      </c>
      <c r="AY11" t="s">
        <v>3910</v>
      </c>
      <c r="AZ11" t="s">
        <v>3892</v>
      </c>
      <c r="BB11" t="s">
        <v>2380</v>
      </c>
      <c r="BE11" t="s">
        <v>1764</v>
      </c>
      <c r="BH11" s="74" t="s">
        <v>2420</v>
      </c>
      <c r="BK11" t="s">
        <v>2297</v>
      </c>
      <c r="BN11" t="s">
        <v>2332</v>
      </c>
      <c r="BQ11" t="s">
        <v>1817</v>
      </c>
      <c r="BT11" s="81" t="s">
        <v>2551</v>
      </c>
    </row>
    <row r="12" spans="1:87" x14ac:dyDescent="0.35">
      <c r="A12" t="s">
        <v>2119</v>
      </c>
      <c r="C12" t="s">
        <v>2367</v>
      </c>
      <c r="D12" s="8">
        <v>11</v>
      </c>
      <c r="E12" s="9" t="s">
        <v>17</v>
      </c>
      <c r="I12" s="8">
        <v>10</v>
      </c>
      <c r="J12" s="9" t="s">
        <v>39</v>
      </c>
      <c r="Q12" t="s">
        <v>3047</v>
      </c>
      <c r="R12" t="s">
        <v>79</v>
      </c>
      <c r="V12" s="28"/>
      <c r="W12" t="s">
        <v>1047</v>
      </c>
      <c r="X12" t="s">
        <v>1047</v>
      </c>
      <c r="Y12" t="s">
        <v>329</v>
      </c>
      <c r="AA12" s="12" t="s">
        <v>1078</v>
      </c>
      <c r="AB12" t="s">
        <v>684</v>
      </c>
      <c r="AE12" s="12" t="s">
        <v>1642</v>
      </c>
      <c r="AF12" s="28" t="s">
        <v>891</v>
      </c>
      <c r="AJ12" t="s">
        <v>2497</v>
      </c>
      <c r="AM12" t="s">
        <v>2659</v>
      </c>
      <c r="AP12" s="82" t="s">
        <v>2979</v>
      </c>
      <c r="AS12" t="s">
        <v>3651</v>
      </c>
      <c r="AV12" t="s">
        <v>3653</v>
      </c>
      <c r="AY12" t="s">
        <v>3911</v>
      </c>
      <c r="AZ12" t="s">
        <v>3893</v>
      </c>
      <c r="BB12" t="s">
        <v>3663</v>
      </c>
      <c r="BE12" t="s">
        <v>1747</v>
      </c>
      <c r="BH12" s="74" t="s">
        <v>2421</v>
      </c>
      <c r="BK12" t="s">
        <v>2298</v>
      </c>
      <c r="BN12" t="s">
        <v>2333</v>
      </c>
      <c r="BQ12" t="s">
        <v>1818</v>
      </c>
      <c r="BT12" s="81" t="s">
        <v>2552</v>
      </c>
    </row>
    <row r="13" spans="1:87" x14ac:dyDescent="0.35">
      <c r="A13" t="s">
        <v>2120</v>
      </c>
      <c r="C13" t="s">
        <v>2368</v>
      </c>
      <c r="D13" s="8">
        <v>12</v>
      </c>
      <c r="E13" s="9" t="s">
        <v>18</v>
      </c>
      <c r="I13" s="8">
        <v>11</v>
      </c>
      <c r="J13" s="9" t="s">
        <v>40</v>
      </c>
      <c r="Q13" t="s">
        <v>3041</v>
      </c>
      <c r="R13" t="s">
        <v>80</v>
      </c>
      <c r="W13" t="s">
        <v>1048</v>
      </c>
      <c r="X13" t="s">
        <v>1048</v>
      </c>
      <c r="Y13" t="s">
        <v>330</v>
      </c>
      <c r="AA13" s="12" t="s">
        <v>1079</v>
      </c>
      <c r="AB13" t="s">
        <v>685</v>
      </c>
      <c r="AJ13" s="82" t="s">
        <v>2957</v>
      </c>
      <c r="AM13" t="s">
        <v>2660</v>
      </c>
      <c r="AP13" s="82" t="s">
        <v>2980</v>
      </c>
      <c r="AS13" t="s">
        <v>3652</v>
      </c>
      <c r="AV13" t="s">
        <v>3654</v>
      </c>
      <c r="AY13" t="s">
        <v>3912</v>
      </c>
      <c r="AZ13" t="s">
        <v>3894</v>
      </c>
      <c r="BB13" t="s">
        <v>3664</v>
      </c>
      <c r="BE13" t="s">
        <v>1765</v>
      </c>
      <c r="BH13" s="74" t="s">
        <v>2422</v>
      </c>
      <c r="BK13" t="s">
        <v>2299</v>
      </c>
      <c r="BN13" t="s">
        <v>2334</v>
      </c>
      <c r="BQ13" t="s">
        <v>1819</v>
      </c>
      <c r="BT13" s="81" t="s">
        <v>2553</v>
      </c>
    </row>
    <row r="14" spans="1:87" x14ac:dyDescent="0.35">
      <c r="A14" t="s">
        <v>2121</v>
      </c>
      <c r="C14" t="s">
        <v>2369</v>
      </c>
      <c r="D14" s="8">
        <v>13</v>
      </c>
      <c r="E14" s="9" t="s">
        <v>19</v>
      </c>
      <c r="I14" s="8">
        <v>12</v>
      </c>
      <c r="J14" s="10" t="s">
        <v>41</v>
      </c>
      <c r="Q14" t="s">
        <v>3051</v>
      </c>
      <c r="R14" t="s">
        <v>81</v>
      </c>
      <c r="U14" s="56" t="s">
        <v>990</v>
      </c>
      <c r="V14" s="28" t="s">
        <v>900</v>
      </c>
      <c r="W14" t="s">
        <v>1049</v>
      </c>
      <c r="X14" t="s">
        <v>1049</v>
      </c>
      <c r="Y14" t="s">
        <v>331</v>
      </c>
      <c r="AA14" s="12" t="s">
        <v>1080</v>
      </c>
      <c r="AB14" t="s">
        <v>686</v>
      </c>
      <c r="AE14" s="3" t="s">
        <v>893</v>
      </c>
      <c r="AJ14" s="82" t="s">
        <v>2958</v>
      </c>
      <c r="AM14" t="s">
        <v>2661</v>
      </c>
      <c r="AP14" s="82" t="s">
        <v>2981</v>
      </c>
      <c r="AS14" t="s">
        <v>2533</v>
      </c>
      <c r="AV14" t="s">
        <v>3655</v>
      </c>
      <c r="BB14" t="s">
        <v>3665</v>
      </c>
      <c r="BE14" t="s">
        <v>1748</v>
      </c>
      <c r="BH14" s="74" t="s">
        <v>2423</v>
      </c>
      <c r="BN14" t="s">
        <v>2335</v>
      </c>
      <c r="BQ14" t="s">
        <v>1820</v>
      </c>
      <c r="BT14" s="81" t="s">
        <v>2554</v>
      </c>
    </row>
    <row r="15" spans="1:87" x14ac:dyDescent="0.35">
      <c r="A15" t="s">
        <v>2122</v>
      </c>
      <c r="C15" t="s">
        <v>2370</v>
      </c>
      <c r="D15" s="8">
        <v>14</v>
      </c>
      <c r="E15" s="9" t="s">
        <v>20</v>
      </c>
      <c r="I15" s="8">
        <v>13</v>
      </c>
      <c r="J15" s="9" t="s">
        <v>42</v>
      </c>
      <c r="Q15" t="s">
        <v>3050</v>
      </c>
      <c r="R15" t="s">
        <v>82</v>
      </c>
      <c r="U15" s="56" t="s">
        <v>991</v>
      </c>
      <c r="V15" s="28" t="s">
        <v>901</v>
      </c>
      <c r="W15" t="s">
        <v>1050</v>
      </c>
      <c r="X15" t="s">
        <v>1050</v>
      </c>
      <c r="Y15" t="s">
        <v>332</v>
      </c>
      <c r="AA15" s="12" t="s">
        <v>1081</v>
      </c>
      <c r="AB15" t="s">
        <v>687</v>
      </c>
      <c r="AE15" t="s">
        <v>1611</v>
      </c>
      <c r="AF15" t="s">
        <v>895</v>
      </c>
      <c r="AJ15" s="82" t="s">
        <v>2959</v>
      </c>
      <c r="AM15" t="s">
        <v>2662</v>
      </c>
      <c r="AP15" s="82" t="s">
        <v>2982</v>
      </c>
      <c r="AS15" t="s">
        <v>2539</v>
      </c>
      <c r="AV15" t="s">
        <v>3656</v>
      </c>
      <c r="BB15" t="s">
        <v>3666</v>
      </c>
      <c r="BE15" t="s">
        <v>1766</v>
      </c>
      <c r="BH15" s="74" t="s">
        <v>2424</v>
      </c>
      <c r="BQ15" t="s">
        <v>1821</v>
      </c>
      <c r="BT15" s="81" t="s">
        <v>2555</v>
      </c>
    </row>
    <row r="16" spans="1:87" ht="12" customHeight="1" x14ac:dyDescent="0.35">
      <c r="A16" t="s">
        <v>2123</v>
      </c>
      <c r="D16" s="8">
        <v>15</v>
      </c>
      <c r="E16" s="10" t="s">
        <v>21</v>
      </c>
      <c r="I16" s="8">
        <v>14</v>
      </c>
      <c r="J16" s="10" t="s">
        <v>43</v>
      </c>
      <c r="N16" s="34" t="s">
        <v>905</v>
      </c>
      <c r="O16" s="31"/>
      <c r="Q16" t="s">
        <v>3049</v>
      </c>
      <c r="R16" t="s">
        <v>83</v>
      </c>
      <c r="U16" s="56" t="s">
        <v>992</v>
      </c>
      <c r="V16" s="28" t="s">
        <v>902</v>
      </c>
      <c r="W16" t="s">
        <v>1051</v>
      </c>
      <c r="X16" t="s">
        <v>1051</v>
      </c>
      <c r="Y16" t="s">
        <v>333</v>
      </c>
      <c r="AA16" s="12" t="s">
        <v>1082</v>
      </c>
      <c r="AB16" t="s">
        <v>688</v>
      </c>
      <c r="AE16" s="29" t="s">
        <v>1612</v>
      </c>
      <c r="AF16" t="s">
        <v>894</v>
      </c>
      <c r="AJ16" t="s">
        <v>2498</v>
      </c>
      <c r="AM16" t="s">
        <v>2663</v>
      </c>
      <c r="AP16" s="82" t="s">
        <v>2983</v>
      </c>
      <c r="AS16" t="s">
        <v>2534</v>
      </c>
      <c r="AV16" t="s">
        <v>3657</v>
      </c>
      <c r="BB16" t="s">
        <v>3667</v>
      </c>
      <c r="BE16" t="s">
        <v>2282</v>
      </c>
      <c r="BH16" s="74" t="s">
        <v>2425</v>
      </c>
      <c r="BQ16" t="s">
        <v>1822</v>
      </c>
      <c r="BT16" s="81" t="s">
        <v>2556</v>
      </c>
    </row>
    <row r="17" spans="1:72" x14ac:dyDescent="0.35">
      <c r="A17" t="s">
        <v>2124</v>
      </c>
      <c r="D17" s="8">
        <v>15</v>
      </c>
      <c r="E17" s="10" t="s">
        <v>22</v>
      </c>
      <c r="I17" s="8">
        <v>15</v>
      </c>
      <c r="J17" s="10" t="s">
        <v>44</v>
      </c>
      <c r="N17" s="31" t="s">
        <v>1025</v>
      </c>
      <c r="O17" s="31" t="s">
        <v>931</v>
      </c>
      <c r="Q17" t="s">
        <v>3038</v>
      </c>
      <c r="R17" t="s">
        <v>84</v>
      </c>
      <c r="U17" s="56" t="s">
        <v>993</v>
      </c>
      <c r="V17" s="28" t="s">
        <v>903</v>
      </c>
      <c r="W17" t="s">
        <v>1052</v>
      </c>
      <c r="X17" t="s">
        <v>1052</v>
      </c>
      <c r="Y17" t="s">
        <v>334</v>
      </c>
      <c r="AA17" s="12" t="s">
        <v>1083</v>
      </c>
      <c r="AB17" t="s">
        <v>689</v>
      </c>
      <c r="AE17" s="3" t="s">
        <v>1733</v>
      </c>
      <c r="AJ17" t="s">
        <v>2499</v>
      </c>
      <c r="AM17" t="s">
        <v>2664</v>
      </c>
      <c r="AP17" s="82" t="s">
        <v>2984</v>
      </c>
      <c r="AS17" t="s">
        <v>2540</v>
      </c>
      <c r="AV17" t="s">
        <v>3658</v>
      </c>
      <c r="BB17" t="s">
        <v>3668</v>
      </c>
      <c r="BE17" t="s">
        <v>2283</v>
      </c>
      <c r="BH17" s="74" t="s">
        <v>2426</v>
      </c>
      <c r="BQ17" t="s">
        <v>1823</v>
      </c>
      <c r="BT17" s="81" t="s">
        <v>2557</v>
      </c>
    </row>
    <row r="18" spans="1:72" x14ac:dyDescent="0.35">
      <c r="A18" t="s">
        <v>2125</v>
      </c>
      <c r="D18" s="11">
        <v>17</v>
      </c>
      <c r="E18" s="10" t="s">
        <v>23</v>
      </c>
      <c r="I18" s="13">
        <v>16</v>
      </c>
      <c r="J18" s="14" t="s">
        <v>45</v>
      </c>
      <c r="N18" s="31" t="s">
        <v>1026</v>
      </c>
      <c r="O18" s="31" t="s">
        <v>932</v>
      </c>
      <c r="Q18" t="s">
        <v>3052</v>
      </c>
      <c r="R18" t="s">
        <v>85</v>
      </c>
      <c r="W18" t="s">
        <v>1053</v>
      </c>
      <c r="X18" t="s">
        <v>1053</v>
      </c>
      <c r="Y18" t="s">
        <v>335</v>
      </c>
      <c r="AA18" s="12" t="s">
        <v>1084</v>
      </c>
      <c r="AB18" t="s">
        <v>818</v>
      </c>
      <c r="AE18" t="s">
        <v>1613</v>
      </c>
      <c r="AF18" t="s">
        <v>897</v>
      </c>
      <c r="AJ18" t="s">
        <v>2500</v>
      </c>
      <c r="AM18" t="s">
        <v>2665</v>
      </c>
      <c r="AP18" s="82" t="s">
        <v>2985</v>
      </c>
      <c r="AV18" t="s">
        <v>3659</v>
      </c>
      <c r="BB18" t="s">
        <v>3669</v>
      </c>
      <c r="BE18" t="s">
        <v>1749</v>
      </c>
      <c r="BH18" s="74" t="s">
        <v>2427</v>
      </c>
      <c r="BQ18" t="s">
        <v>1824</v>
      </c>
      <c r="BT18" s="81" t="s">
        <v>2558</v>
      </c>
    </row>
    <row r="19" spans="1:72" x14ac:dyDescent="0.35">
      <c r="A19" t="s">
        <v>2126</v>
      </c>
      <c r="D19" s="11">
        <v>18</v>
      </c>
      <c r="E19" s="9" t="s">
        <v>24</v>
      </c>
      <c r="I19" s="15">
        <v>17</v>
      </c>
      <c r="J19" s="16" t="s">
        <v>46</v>
      </c>
      <c r="N19" s="31" t="s">
        <v>1027</v>
      </c>
      <c r="O19" s="31" t="s">
        <v>933</v>
      </c>
      <c r="Q19" t="s">
        <v>3064</v>
      </c>
      <c r="R19" t="s">
        <v>86</v>
      </c>
      <c r="W19" t="s">
        <v>1054</v>
      </c>
      <c r="X19" t="s">
        <v>1054</v>
      </c>
      <c r="Y19" t="s">
        <v>336</v>
      </c>
      <c r="AA19" s="12" t="s">
        <v>1085</v>
      </c>
      <c r="AB19" t="s">
        <v>698</v>
      </c>
      <c r="AE19" t="s">
        <v>1614</v>
      </c>
      <c r="AF19" t="s">
        <v>898</v>
      </c>
      <c r="AJ19" t="s">
        <v>2501</v>
      </c>
      <c r="AM19" t="s">
        <v>2666</v>
      </c>
      <c r="AP19" s="82" t="s">
        <v>2986</v>
      </c>
      <c r="AV19" t="s">
        <v>3660</v>
      </c>
      <c r="BB19" t="s">
        <v>3670</v>
      </c>
      <c r="BE19" t="s">
        <v>1767</v>
      </c>
      <c r="BH19" s="74" t="s">
        <v>2428</v>
      </c>
      <c r="BQ19" t="s">
        <v>1825</v>
      </c>
      <c r="BT19" s="81" t="s">
        <v>2559</v>
      </c>
    </row>
    <row r="20" spans="1:72" x14ac:dyDescent="0.35">
      <c r="A20" t="s">
        <v>2127</v>
      </c>
      <c r="D20" s="11">
        <v>19</v>
      </c>
      <c r="E20" s="9" t="s">
        <v>25</v>
      </c>
      <c r="I20" s="13">
        <v>19</v>
      </c>
      <c r="J20" s="17" t="s">
        <v>47</v>
      </c>
      <c r="N20" s="31" t="s">
        <v>1028</v>
      </c>
      <c r="O20" s="31" t="s">
        <v>934</v>
      </c>
      <c r="Q20" t="s">
        <v>3056</v>
      </c>
      <c r="R20" t="s">
        <v>87</v>
      </c>
      <c r="U20" s="58" t="s">
        <v>1730</v>
      </c>
      <c r="W20" t="s">
        <v>1055</v>
      </c>
      <c r="X20" t="s">
        <v>1055</v>
      </c>
      <c r="Y20" t="s">
        <v>337</v>
      </c>
      <c r="AA20" s="12" t="s">
        <v>1086</v>
      </c>
      <c r="AB20" t="s">
        <v>699</v>
      </c>
      <c r="AE20" t="s">
        <v>1615</v>
      </c>
      <c r="AF20" t="s">
        <v>899</v>
      </c>
      <c r="AJ20" t="s">
        <v>2502</v>
      </c>
      <c r="AM20" t="s">
        <v>2667</v>
      </c>
      <c r="AP20" s="82" t="s">
        <v>3629</v>
      </c>
      <c r="AV20" t="s">
        <v>3661</v>
      </c>
      <c r="BB20" t="s">
        <v>3671</v>
      </c>
      <c r="BE20" t="s">
        <v>1750</v>
      </c>
      <c r="BH20" s="74" t="s">
        <v>2429</v>
      </c>
      <c r="BQ20" t="s">
        <v>1826</v>
      </c>
      <c r="BT20" s="81" t="s">
        <v>2560</v>
      </c>
    </row>
    <row r="21" spans="1:72" x14ac:dyDescent="0.35">
      <c r="A21" t="s">
        <v>2128</v>
      </c>
      <c r="D21" s="11">
        <v>20</v>
      </c>
      <c r="E21" s="10" t="s">
        <v>26</v>
      </c>
      <c r="I21" s="11">
        <v>20</v>
      </c>
      <c r="J21" s="9" t="s">
        <v>48</v>
      </c>
      <c r="Q21" t="s">
        <v>3055</v>
      </c>
      <c r="R21" t="s">
        <v>88</v>
      </c>
      <c r="U21" t="s">
        <v>1731</v>
      </c>
      <c r="W21" t="s">
        <v>1056</v>
      </c>
      <c r="X21" t="s">
        <v>1056</v>
      </c>
      <c r="Y21" t="s">
        <v>338</v>
      </c>
      <c r="AA21" s="12" t="s">
        <v>1087</v>
      </c>
      <c r="AB21" t="s">
        <v>690</v>
      </c>
      <c r="AJ21" t="s">
        <v>2503</v>
      </c>
      <c r="AM21" t="s">
        <v>2668</v>
      </c>
      <c r="AP21" s="82" t="s">
        <v>3630</v>
      </c>
      <c r="AV21" t="s">
        <v>3662</v>
      </c>
      <c r="BB21" t="s">
        <v>3672</v>
      </c>
      <c r="BE21" t="s">
        <v>1768</v>
      </c>
      <c r="BH21" s="74" t="s">
        <v>2430</v>
      </c>
      <c r="BQ21" t="s">
        <v>1827</v>
      </c>
      <c r="BT21" s="81" t="s">
        <v>1996</v>
      </c>
    </row>
    <row r="22" spans="1:72" x14ac:dyDescent="0.35">
      <c r="A22" t="s">
        <v>2129</v>
      </c>
      <c r="D22" s="11">
        <v>21</v>
      </c>
      <c r="E22" s="9" t="s">
        <v>27</v>
      </c>
      <c r="I22" s="11">
        <v>21</v>
      </c>
      <c r="J22" s="9" t="s">
        <v>49</v>
      </c>
      <c r="Q22" t="s">
        <v>3058</v>
      </c>
      <c r="R22" t="s">
        <v>89</v>
      </c>
      <c r="U22" t="s">
        <v>1732</v>
      </c>
      <c r="W22" t="s">
        <v>1057</v>
      </c>
      <c r="X22" t="s">
        <v>1057</v>
      </c>
      <c r="Y22" t="s">
        <v>339</v>
      </c>
      <c r="AA22" s="12" t="s">
        <v>1088</v>
      </c>
      <c r="AB22" t="s">
        <v>691</v>
      </c>
      <c r="AJ22" t="s">
        <v>2504</v>
      </c>
      <c r="AM22" t="s">
        <v>2669</v>
      </c>
      <c r="AP22" s="82" t="s">
        <v>3631</v>
      </c>
      <c r="AV22" t="s">
        <v>2401</v>
      </c>
      <c r="BB22" t="s">
        <v>2381</v>
      </c>
      <c r="BE22" t="s">
        <v>1751</v>
      </c>
      <c r="BH22" s="74" t="s">
        <v>2431</v>
      </c>
      <c r="BQ22" t="s">
        <v>1828</v>
      </c>
      <c r="BT22" s="81" t="s">
        <v>1997</v>
      </c>
    </row>
    <row r="23" spans="1:72" x14ac:dyDescent="0.35">
      <c r="A23" t="s">
        <v>2130</v>
      </c>
      <c r="D23" s="11">
        <v>22</v>
      </c>
      <c r="E23" s="9" t="s">
        <v>28</v>
      </c>
      <c r="I23" s="8">
        <v>22</v>
      </c>
      <c r="J23" s="10" t="s">
        <v>50</v>
      </c>
      <c r="Q23" t="s">
        <v>3071</v>
      </c>
      <c r="R23" t="s">
        <v>90</v>
      </c>
      <c r="W23" t="s">
        <v>1058</v>
      </c>
      <c r="X23" t="s">
        <v>1058</v>
      </c>
      <c r="Y23" t="s">
        <v>340</v>
      </c>
      <c r="AA23" s="12" t="s">
        <v>1089</v>
      </c>
      <c r="AB23" t="s">
        <v>692</v>
      </c>
      <c r="AE23" s="3" t="s">
        <v>906</v>
      </c>
      <c r="AJ23" t="s">
        <v>2505</v>
      </c>
      <c r="AM23" t="s">
        <v>2670</v>
      </c>
      <c r="AP23" s="82" t="s">
        <v>3632</v>
      </c>
      <c r="AV23" t="s">
        <v>2402</v>
      </c>
      <c r="BB23" t="s">
        <v>2382</v>
      </c>
      <c r="BE23" t="s">
        <v>1769</v>
      </c>
      <c r="BH23" s="74" t="s">
        <v>2432</v>
      </c>
      <c r="BQ23" t="s">
        <v>1829</v>
      </c>
      <c r="BT23" s="81" t="s">
        <v>2561</v>
      </c>
    </row>
    <row r="24" spans="1:72" x14ac:dyDescent="0.35">
      <c r="A24" t="s">
        <v>2131</v>
      </c>
      <c r="I24" s="8">
        <v>23</v>
      </c>
      <c r="J24" s="10" t="s">
        <v>51</v>
      </c>
      <c r="Q24" t="s">
        <v>3070</v>
      </c>
      <c r="R24" t="s">
        <v>91</v>
      </c>
      <c r="U24" s="3" t="s">
        <v>1738</v>
      </c>
      <c r="W24" t="s">
        <v>1059</v>
      </c>
      <c r="X24" t="s">
        <v>1059</v>
      </c>
      <c r="Y24" t="s">
        <v>341</v>
      </c>
      <c r="AA24" s="12" t="s">
        <v>1090</v>
      </c>
      <c r="AB24" t="s">
        <v>693</v>
      </c>
      <c r="AE24" s="38" t="s">
        <v>1594</v>
      </c>
      <c r="AF24" s="43" t="s">
        <v>935</v>
      </c>
      <c r="AJ24" t="s">
        <v>2506</v>
      </c>
      <c r="AM24" t="s">
        <v>2671</v>
      </c>
      <c r="AP24" s="82" t="s">
        <v>3633</v>
      </c>
      <c r="AV24" t="s">
        <v>2403</v>
      </c>
      <c r="BB24" t="s">
        <v>2383</v>
      </c>
      <c r="BE24" t="s">
        <v>2284</v>
      </c>
      <c r="BH24" s="74" t="s">
        <v>2433</v>
      </c>
      <c r="BQ24" t="s">
        <v>1830</v>
      </c>
      <c r="BT24" s="81" t="s">
        <v>1998</v>
      </c>
    </row>
    <row r="25" spans="1:72" ht="15" thickBot="1" x14ac:dyDescent="0.4">
      <c r="A25" t="s">
        <v>2132</v>
      </c>
      <c r="C25" s="3" t="s">
        <v>321</v>
      </c>
      <c r="I25" s="18">
        <v>24</v>
      </c>
      <c r="J25" s="19" t="s">
        <v>52</v>
      </c>
      <c r="Q25" t="s">
        <v>3054</v>
      </c>
      <c r="R25" t="s">
        <v>92</v>
      </c>
      <c r="U25" t="s">
        <v>1735</v>
      </c>
      <c r="W25" t="s">
        <v>1060</v>
      </c>
      <c r="X25" t="s">
        <v>1060</v>
      </c>
      <c r="Y25" t="s">
        <v>342</v>
      </c>
      <c r="AA25" s="12" t="s">
        <v>1091</v>
      </c>
      <c r="AB25" t="s">
        <v>694</v>
      </c>
      <c r="AE25" s="39" t="s">
        <v>1595</v>
      </c>
      <c r="AF25" s="43" t="s">
        <v>936</v>
      </c>
      <c r="AJ25" t="s">
        <v>2507</v>
      </c>
      <c r="AM25" t="s">
        <v>2672</v>
      </c>
      <c r="AP25" s="82" t="s">
        <v>3634</v>
      </c>
      <c r="AV25" t="s">
        <v>2404</v>
      </c>
      <c r="BB25" t="s">
        <v>2384</v>
      </c>
      <c r="BE25" t="s">
        <v>2285</v>
      </c>
      <c r="BH25" s="74" t="s">
        <v>2434</v>
      </c>
      <c r="BQ25" t="s">
        <v>1831</v>
      </c>
      <c r="BT25" s="81" t="s">
        <v>2002</v>
      </c>
    </row>
    <row r="26" spans="1:72" x14ac:dyDescent="0.35">
      <c r="A26" t="s">
        <v>2133</v>
      </c>
      <c r="C26" s="31" t="s">
        <v>996</v>
      </c>
      <c r="D26" s="31" t="s">
        <v>907</v>
      </c>
      <c r="M26" s="74" t="s">
        <v>53</v>
      </c>
      <c r="N26">
        <f ca="1">N27-1</f>
        <v>2020</v>
      </c>
      <c r="O26" s="74" t="s">
        <v>53</v>
      </c>
      <c r="P26" s="71" t="s">
        <v>53</v>
      </c>
      <c r="Q26" t="s">
        <v>3072</v>
      </c>
      <c r="R26" t="s">
        <v>93</v>
      </c>
      <c r="U26" t="s">
        <v>1736</v>
      </c>
      <c r="W26" t="s">
        <v>1061</v>
      </c>
      <c r="X26" t="s">
        <v>1061</v>
      </c>
      <c r="Y26" t="s">
        <v>343</v>
      </c>
      <c r="AA26" s="12" t="s">
        <v>1092</v>
      </c>
      <c r="AB26" t="s">
        <v>695</v>
      </c>
      <c r="AE26" s="38" t="s">
        <v>1596</v>
      </c>
      <c r="AF26" s="43" t="s">
        <v>937</v>
      </c>
      <c r="AJ26" t="s">
        <v>2508</v>
      </c>
      <c r="AM26" t="s">
        <v>2673</v>
      </c>
      <c r="AP26" s="82" t="s">
        <v>3635</v>
      </c>
      <c r="AV26" t="s">
        <v>2405</v>
      </c>
      <c r="BB26" t="s">
        <v>2385</v>
      </c>
      <c r="BE26" t="s">
        <v>1752</v>
      </c>
      <c r="BH26" s="74" t="s">
        <v>2435</v>
      </c>
      <c r="BQ26" t="s">
        <v>1832</v>
      </c>
      <c r="BT26" s="81" t="s">
        <v>2003</v>
      </c>
    </row>
    <row r="27" spans="1:72" x14ac:dyDescent="0.35">
      <c r="A27" t="s">
        <v>2134</v>
      </c>
      <c r="C27" s="31" t="s">
        <v>997</v>
      </c>
      <c r="D27" s="31" t="s">
        <v>908</v>
      </c>
      <c r="M27" s="74" t="s">
        <v>55</v>
      </c>
      <c r="N27">
        <f ca="1">YEAR(TODAY())</f>
        <v>2021</v>
      </c>
      <c r="O27" s="74" t="s">
        <v>55</v>
      </c>
      <c r="P27" s="71" t="s">
        <v>55</v>
      </c>
      <c r="Q27" t="s">
        <v>3060</v>
      </c>
      <c r="R27" t="s">
        <v>94</v>
      </c>
      <c r="U27" t="s">
        <v>1737</v>
      </c>
      <c r="W27" t="s">
        <v>1062</v>
      </c>
      <c r="X27" t="s">
        <v>1062</v>
      </c>
      <c r="Y27" t="s">
        <v>344</v>
      </c>
      <c r="AA27" s="12" t="s">
        <v>1093</v>
      </c>
      <c r="AB27" t="s">
        <v>696</v>
      </c>
      <c r="AE27" s="40" t="s">
        <v>1597</v>
      </c>
      <c r="AF27" s="44" t="s">
        <v>938</v>
      </c>
      <c r="AJ27" s="82" t="s">
        <v>2960</v>
      </c>
      <c r="AM27" t="s">
        <v>2674</v>
      </c>
      <c r="AP27" s="82" t="s">
        <v>3636</v>
      </c>
      <c r="AV27" t="s">
        <v>2406</v>
      </c>
      <c r="BB27" t="s">
        <v>2386</v>
      </c>
      <c r="BE27" t="s">
        <v>1770</v>
      </c>
      <c r="BH27" s="74" t="s">
        <v>2436</v>
      </c>
      <c r="BQ27" t="s">
        <v>1833</v>
      </c>
      <c r="BT27" s="81" t="s">
        <v>2000</v>
      </c>
    </row>
    <row r="28" spans="1:72" x14ac:dyDescent="0.35">
      <c r="A28" t="s">
        <v>2135</v>
      </c>
      <c r="C28" s="31" t="s">
        <v>998</v>
      </c>
      <c r="D28" s="31" t="s">
        <v>909</v>
      </c>
      <c r="I28" s="3" t="s">
        <v>3</v>
      </c>
      <c r="M28" s="74" t="s">
        <v>57</v>
      </c>
      <c r="N28">
        <v>2017</v>
      </c>
      <c r="O28" s="74" t="s">
        <v>57</v>
      </c>
      <c r="P28" s="71" t="s">
        <v>57</v>
      </c>
      <c r="Q28" t="s">
        <v>3211</v>
      </c>
      <c r="R28" t="s">
        <v>95</v>
      </c>
      <c r="W28" t="s">
        <v>1063</v>
      </c>
      <c r="X28" t="s">
        <v>1063</v>
      </c>
      <c r="Y28" t="s">
        <v>345</v>
      </c>
      <c r="AA28" s="12" t="s">
        <v>1094</v>
      </c>
      <c r="AB28" t="s">
        <v>697</v>
      </c>
      <c r="AE28" s="40" t="s">
        <v>1598</v>
      </c>
      <c r="AF28" s="44" t="s">
        <v>939</v>
      </c>
      <c r="AJ28" s="82" t="s">
        <v>2961</v>
      </c>
      <c r="AM28" t="s">
        <v>2675</v>
      </c>
      <c r="AP28" s="82" t="s">
        <v>3637</v>
      </c>
      <c r="AV28" t="s">
        <v>2407</v>
      </c>
      <c r="BB28" t="s">
        <v>2387</v>
      </c>
      <c r="BE28" t="s">
        <v>1753</v>
      </c>
      <c r="BH28" s="74" t="s">
        <v>2437</v>
      </c>
      <c r="BQ28" t="s">
        <v>1834</v>
      </c>
      <c r="BT28" s="81" t="s">
        <v>2001</v>
      </c>
    </row>
    <row r="29" spans="1:72" x14ac:dyDescent="0.35">
      <c r="A29" t="s">
        <v>2136</v>
      </c>
      <c r="C29" s="31" t="s">
        <v>999</v>
      </c>
      <c r="D29" s="31" t="s">
        <v>910</v>
      </c>
      <c r="I29" t="s">
        <v>994</v>
      </c>
      <c r="J29" t="s">
        <v>951</v>
      </c>
      <c r="M29" s="74" t="s">
        <v>59</v>
      </c>
      <c r="O29" s="74" t="s">
        <v>59</v>
      </c>
      <c r="P29" s="71" t="s">
        <v>59</v>
      </c>
      <c r="Q29" t="s">
        <v>3061</v>
      </c>
      <c r="R29" t="s">
        <v>96</v>
      </c>
      <c r="W29" t="s">
        <v>1064</v>
      </c>
      <c r="X29" t="s">
        <v>1064</v>
      </c>
      <c r="Y29" t="s">
        <v>346</v>
      </c>
      <c r="AA29" s="12" t="s">
        <v>1095</v>
      </c>
      <c r="AB29" t="s">
        <v>700</v>
      </c>
      <c r="AE29" s="40" t="s">
        <v>1599</v>
      </c>
      <c r="AF29" s="44" t="s">
        <v>940</v>
      </c>
      <c r="AJ29" s="82" t="s">
        <v>2962</v>
      </c>
      <c r="AM29" t="s">
        <v>2676</v>
      </c>
      <c r="AP29" s="82" t="s">
        <v>3638</v>
      </c>
      <c r="AV29" t="s">
        <v>2408</v>
      </c>
      <c r="BB29" t="s">
        <v>2388</v>
      </c>
      <c r="BE29" t="s">
        <v>1771</v>
      </c>
      <c r="BH29" s="74" t="s">
        <v>2438</v>
      </c>
      <c r="BQ29" t="s">
        <v>1835</v>
      </c>
      <c r="BT29" s="81" t="s">
        <v>2562</v>
      </c>
    </row>
    <row r="30" spans="1:72" x14ac:dyDescent="0.35">
      <c r="A30" t="s">
        <v>2137</v>
      </c>
      <c r="C30" s="31" t="s">
        <v>1000</v>
      </c>
      <c r="D30" s="31" t="s">
        <v>911</v>
      </c>
      <c r="I30" t="s">
        <v>995</v>
      </c>
      <c r="J30" t="s">
        <v>274</v>
      </c>
      <c r="M30" s="74" t="s">
        <v>61</v>
      </c>
      <c r="O30" s="74" t="s">
        <v>61</v>
      </c>
      <c r="Q30" t="s">
        <v>3069</v>
      </c>
      <c r="R30" t="s">
        <v>97</v>
      </c>
      <c r="U30" t="s">
        <v>1784</v>
      </c>
      <c r="W30" t="s">
        <v>1065</v>
      </c>
      <c r="X30" t="s">
        <v>1065</v>
      </c>
      <c r="Y30" t="s">
        <v>347</v>
      </c>
      <c r="AA30" s="12" t="s">
        <v>1096</v>
      </c>
      <c r="AB30" t="s">
        <v>701</v>
      </c>
      <c r="AE30" s="41" t="s">
        <v>1600</v>
      </c>
      <c r="AF30" s="45" t="s">
        <v>941</v>
      </c>
      <c r="AJ30" t="s">
        <v>3294</v>
      </c>
      <c r="AM30" t="s">
        <v>2677</v>
      </c>
      <c r="AP30" s="82" t="s">
        <v>3639</v>
      </c>
      <c r="AV30" t="s">
        <v>2409</v>
      </c>
      <c r="BB30" t="s">
        <v>2389</v>
      </c>
      <c r="BE30" t="s">
        <v>1754</v>
      </c>
      <c r="BH30" s="74" t="s">
        <v>2439</v>
      </c>
      <c r="BQ30" t="s">
        <v>1836</v>
      </c>
      <c r="BT30" s="81" t="s">
        <v>2563</v>
      </c>
    </row>
    <row r="31" spans="1:72" x14ac:dyDescent="0.35">
      <c r="A31" t="s">
        <v>2138</v>
      </c>
      <c r="C31" s="31" t="s">
        <v>1001</v>
      </c>
      <c r="D31" s="31" t="s">
        <v>912</v>
      </c>
      <c r="M31" s="74" t="s">
        <v>63</v>
      </c>
      <c r="N31">
        <f ca="1">N32-1</f>
        <v>2018</v>
      </c>
      <c r="O31" s="74" t="s">
        <v>63</v>
      </c>
      <c r="Q31" t="s">
        <v>3063</v>
      </c>
      <c r="R31" t="s">
        <v>98</v>
      </c>
      <c r="U31" t="s">
        <v>3896</v>
      </c>
      <c r="W31" t="s">
        <v>1066</v>
      </c>
      <c r="X31" t="s">
        <v>1066</v>
      </c>
      <c r="Y31" t="s">
        <v>348</v>
      </c>
      <c r="AA31" s="12" t="s">
        <v>1097</v>
      </c>
      <c r="AB31" t="s">
        <v>702</v>
      </c>
      <c r="AE31" s="41" t="s">
        <v>1601</v>
      </c>
      <c r="AF31" s="45" t="s">
        <v>942</v>
      </c>
      <c r="AJ31" t="s">
        <v>3295</v>
      </c>
      <c r="AM31" t="s">
        <v>2678</v>
      </c>
      <c r="AP31" s="82" t="s">
        <v>3640</v>
      </c>
      <c r="AV31" t="s">
        <v>2410</v>
      </c>
      <c r="BB31" t="s">
        <v>2390</v>
      </c>
      <c r="BE31" t="s">
        <v>1772</v>
      </c>
      <c r="BH31" s="74" t="s">
        <v>2440</v>
      </c>
      <c r="BQ31" t="s">
        <v>1837</v>
      </c>
      <c r="BT31" s="81" t="s">
        <v>2564</v>
      </c>
    </row>
    <row r="32" spans="1:72" x14ac:dyDescent="0.35">
      <c r="A32" t="s">
        <v>2139</v>
      </c>
      <c r="C32" s="31" t="s">
        <v>1002</v>
      </c>
      <c r="D32" s="31" t="s">
        <v>913</v>
      </c>
      <c r="M32" s="74" t="s">
        <v>65</v>
      </c>
      <c r="N32">
        <f ca="1">N33-1</f>
        <v>2019</v>
      </c>
      <c r="O32" s="74" t="s">
        <v>65</v>
      </c>
      <c r="Q32" t="s">
        <v>3067</v>
      </c>
      <c r="R32" t="s">
        <v>99</v>
      </c>
      <c r="U32" t="s">
        <v>3897</v>
      </c>
      <c r="X32" t="s">
        <v>1067</v>
      </c>
      <c r="Y32" t="s">
        <v>518</v>
      </c>
      <c r="AA32" s="12" t="s">
        <v>1098</v>
      </c>
      <c r="AB32" t="s">
        <v>703</v>
      </c>
      <c r="AE32" s="41" t="s">
        <v>1602</v>
      </c>
      <c r="AF32" s="45" t="s">
        <v>943</v>
      </c>
      <c r="AJ32" t="s">
        <v>3296</v>
      </c>
      <c r="AM32" t="s">
        <v>2679</v>
      </c>
      <c r="AP32" s="82" t="s">
        <v>3641</v>
      </c>
      <c r="BE32" t="s">
        <v>2286</v>
      </c>
      <c r="BH32" s="74" t="s">
        <v>2441</v>
      </c>
      <c r="BQ32" t="s">
        <v>1838</v>
      </c>
      <c r="BT32" s="81" t="s">
        <v>2565</v>
      </c>
    </row>
    <row r="33" spans="1:72" x14ac:dyDescent="0.35">
      <c r="A33" t="s">
        <v>2140</v>
      </c>
      <c r="C33" s="31" t="s">
        <v>1003</v>
      </c>
      <c r="D33" s="31" t="s">
        <v>914</v>
      </c>
      <c r="M33" s="74" t="s">
        <v>67</v>
      </c>
      <c r="N33">
        <f ca="1">N34-1</f>
        <v>2020</v>
      </c>
      <c r="O33" s="74" t="s">
        <v>67</v>
      </c>
      <c r="Q33" t="s">
        <v>3053</v>
      </c>
      <c r="R33" t="s">
        <v>100</v>
      </c>
      <c r="U33" t="s">
        <v>3898</v>
      </c>
      <c r="AA33" s="12" t="s">
        <v>1099</v>
      </c>
      <c r="AB33" t="s">
        <v>706</v>
      </c>
      <c r="AE33" s="41" t="s">
        <v>1603</v>
      </c>
      <c r="AF33" s="45" t="s">
        <v>944</v>
      </c>
      <c r="AJ33" t="s">
        <v>3297</v>
      </c>
      <c r="AM33" t="s">
        <v>2680</v>
      </c>
      <c r="AP33" s="82" t="s">
        <v>3642</v>
      </c>
      <c r="AY33" t="s">
        <v>3276</v>
      </c>
      <c r="BE33" t="s">
        <v>2287</v>
      </c>
      <c r="BH33" s="74" t="s">
        <v>2442</v>
      </c>
      <c r="BQ33" t="s">
        <v>1839</v>
      </c>
      <c r="BT33" s="81" t="s">
        <v>2566</v>
      </c>
    </row>
    <row r="34" spans="1:72" x14ac:dyDescent="0.35">
      <c r="A34" t="s">
        <v>2141</v>
      </c>
      <c r="C34" s="31" t="s">
        <v>1004</v>
      </c>
      <c r="D34" s="31" t="s">
        <v>915</v>
      </c>
      <c r="I34" s="37" t="s">
        <v>2300</v>
      </c>
      <c r="J34" s="37"/>
      <c r="M34" s="74" t="s">
        <v>69</v>
      </c>
      <c r="N34">
        <f ca="1">YEAR(TODAY())</f>
        <v>2021</v>
      </c>
      <c r="O34" s="74" t="s">
        <v>69</v>
      </c>
      <c r="Q34" t="s">
        <v>3062</v>
      </c>
      <c r="R34" t="s">
        <v>101</v>
      </c>
      <c r="U34" t="s">
        <v>3899</v>
      </c>
      <c r="AA34" s="12" t="s">
        <v>1100</v>
      </c>
      <c r="AB34" t="s">
        <v>704</v>
      </c>
      <c r="AE34" s="41" t="s">
        <v>1604</v>
      </c>
      <c r="AF34" s="45" t="s">
        <v>945</v>
      </c>
      <c r="AJ34" t="s">
        <v>3298</v>
      </c>
      <c r="AM34" t="s">
        <v>2681</v>
      </c>
      <c r="AP34" s="82" t="s">
        <v>3643</v>
      </c>
      <c r="AY34" t="s">
        <v>3282</v>
      </c>
      <c r="BE34" t="s">
        <v>1755</v>
      </c>
      <c r="BH34" s="74" t="s">
        <v>2443</v>
      </c>
      <c r="BQ34" t="s">
        <v>1840</v>
      </c>
      <c r="BT34" s="81" t="s">
        <v>2567</v>
      </c>
    </row>
    <row r="35" spans="1:72" x14ac:dyDescent="0.35">
      <c r="A35" t="s">
        <v>2142</v>
      </c>
      <c r="I35" s="37" t="s">
        <v>2301</v>
      </c>
      <c r="J35" s="37"/>
      <c r="M35" s="74" t="s">
        <v>2313</v>
      </c>
      <c r="O35" s="74" t="s">
        <v>2313</v>
      </c>
      <c r="Q35" t="s">
        <v>3066</v>
      </c>
      <c r="R35" t="s">
        <v>102</v>
      </c>
      <c r="U35" t="s">
        <v>3900</v>
      </c>
      <c r="AA35" s="12" t="s">
        <v>1101</v>
      </c>
      <c r="AB35" t="s">
        <v>705</v>
      </c>
      <c r="AE35" s="40" t="s">
        <v>1605</v>
      </c>
      <c r="AF35" s="44" t="s">
        <v>946</v>
      </c>
      <c r="AJ35" t="s">
        <v>3299</v>
      </c>
      <c r="AM35" t="s">
        <v>2682</v>
      </c>
      <c r="AP35" s="82" t="s">
        <v>3644</v>
      </c>
      <c r="AY35" t="s">
        <v>3288</v>
      </c>
      <c r="BE35" t="s">
        <v>1773</v>
      </c>
      <c r="BH35" s="74" t="s">
        <v>2444</v>
      </c>
      <c r="BQ35" t="s">
        <v>1841</v>
      </c>
      <c r="BT35" s="81" t="s">
        <v>2568</v>
      </c>
    </row>
    <row r="36" spans="1:72" x14ac:dyDescent="0.35">
      <c r="A36" t="s">
        <v>2143</v>
      </c>
      <c r="C36" s="3" t="s">
        <v>318</v>
      </c>
      <c r="I36" s="37" t="s">
        <v>2302</v>
      </c>
      <c r="J36" s="37"/>
      <c r="M36" s="74" t="s">
        <v>2314</v>
      </c>
      <c r="O36" s="74" t="s">
        <v>2314</v>
      </c>
      <c r="Q36" t="s">
        <v>3065</v>
      </c>
      <c r="R36" t="s">
        <v>103</v>
      </c>
      <c r="W36" s="3" t="s">
        <v>892</v>
      </c>
      <c r="AA36" s="12" t="s">
        <v>1102</v>
      </c>
      <c r="AB36" t="s">
        <v>819</v>
      </c>
      <c r="AE36" s="40" t="s">
        <v>1606</v>
      </c>
      <c r="AF36" s="44" t="s">
        <v>947</v>
      </c>
      <c r="AJ36" t="s">
        <v>3300</v>
      </c>
      <c r="AM36" t="s">
        <v>2683</v>
      </c>
      <c r="AP36" s="82" t="s">
        <v>3645</v>
      </c>
      <c r="AY36" t="s">
        <v>3277</v>
      </c>
      <c r="BE36" t="s">
        <v>1756</v>
      </c>
      <c r="BH36" s="74" t="s">
        <v>2445</v>
      </c>
      <c r="BQ36" t="s">
        <v>1842</v>
      </c>
      <c r="BT36" s="81" t="s">
        <v>2569</v>
      </c>
    </row>
    <row r="37" spans="1:72" x14ac:dyDescent="0.35">
      <c r="A37" t="s">
        <v>2144</v>
      </c>
      <c r="C37" t="s">
        <v>2951</v>
      </c>
      <c r="D37" s="32" t="s">
        <v>916</v>
      </c>
      <c r="I37" s="37" t="s">
        <v>2303</v>
      </c>
      <c r="J37" s="37"/>
      <c r="M37" s="74" t="s">
        <v>2315</v>
      </c>
      <c r="O37" s="74" t="s">
        <v>2315</v>
      </c>
      <c r="Q37" t="s">
        <v>3057</v>
      </c>
      <c r="R37" t="s">
        <v>104</v>
      </c>
      <c r="W37" t="s">
        <v>1785</v>
      </c>
      <c r="AA37" s="12" t="s">
        <v>1103</v>
      </c>
      <c r="AB37" t="s">
        <v>707</v>
      </c>
      <c r="AE37" s="42" t="s">
        <v>1607</v>
      </c>
      <c r="AF37" s="46" t="s">
        <v>948</v>
      </c>
      <c r="AJ37" t="s">
        <v>3301</v>
      </c>
      <c r="AM37" t="s">
        <v>2684</v>
      </c>
      <c r="AP37" s="82" t="s">
        <v>3646</v>
      </c>
      <c r="AY37" t="s">
        <v>3283</v>
      </c>
      <c r="BE37" t="s">
        <v>1774</v>
      </c>
      <c r="BH37" s="74" t="s">
        <v>2446</v>
      </c>
      <c r="BQ37" t="s">
        <v>1843</v>
      </c>
      <c r="BT37" s="81" t="s">
        <v>2570</v>
      </c>
    </row>
    <row r="38" spans="1:72" ht="15" customHeight="1" x14ac:dyDescent="0.35">
      <c r="A38" t="s">
        <v>2145</v>
      </c>
      <c r="C38" t="s">
        <v>2952</v>
      </c>
      <c r="D38" s="32" t="s">
        <v>917</v>
      </c>
      <c r="I38" s="37"/>
      <c r="J38" s="37"/>
      <c r="M38" s="74" t="s">
        <v>2338</v>
      </c>
      <c r="Q38" t="s">
        <v>3059</v>
      </c>
      <c r="R38" t="s">
        <v>105</v>
      </c>
      <c r="W38" t="s">
        <v>1786</v>
      </c>
      <c r="AA38" s="12" t="s">
        <v>1104</v>
      </c>
      <c r="AB38" t="s">
        <v>708</v>
      </c>
      <c r="AE38" s="39" t="s">
        <v>1608</v>
      </c>
      <c r="AF38" s="43" t="s">
        <v>926</v>
      </c>
      <c r="AJ38" t="s">
        <v>3302</v>
      </c>
      <c r="AM38" t="s">
        <v>2685</v>
      </c>
      <c r="AP38" s="82" t="s">
        <v>2987</v>
      </c>
      <c r="AY38" t="s">
        <v>3289</v>
      </c>
      <c r="BE38" t="s">
        <v>1757</v>
      </c>
      <c r="BH38" s="74" t="s">
        <v>2447</v>
      </c>
      <c r="BQ38" t="s">
        <v>1844</v>
      </c>
      <c r="BT38" s="81" t="s">
        <v>2571</v>
      </c>
    </row>
    <row r="39" spans="1:72" x14ac:dyDescent="0.35">
      <c r="A39" t="s">
        <v>2146</v>
      </c>
      <c r="C39" t="s">
        <v>2953</v>
      </c>
      <c r="D39" s="32" t="s">
        <v>916</v>
      </c>
      <c r="M39" s="74" t="s">
        <v>2339</v>
      </c>
      <c r="Q39" t="s">
        <v>3880</v>
      </c>
      <c r="R39" t="s">
        <v>106</v>
      </c>
      <c r="W39" t="s">
        <v>1787</v>
      </c>
      <c r="AA39" s="12" t="s">
        <v>1105</v>
      </c>
      <c r="AB39" t="s">
        <v>709</v>
      </c>
      <c r="AJ39" t="s">
        <v>3303</v>
      </c>
      <c r="AM39" t="s">
        <v>2686</v>
      </c>
      <c r="AP39" s="82" t="s">
        <v>2988</v>
      </c>
      <c r="AY39" t="s">
        <v>3278</v>
      </c>
      <c r="BE39" t="s">
        <v>1775</v>
      </c>
      <c r="BH39" s="74" t="s">
        <v>2448</v>
      </c>
      <c r="BQ39" t="s">
        <v>1845</v>
      </c>
      <c r="BT39" s="81" t="s">
        <v>2572</v>
      </c>
    </row>
    <row r="40" spans="1:72" ht="15.75" customHeight="1" x14ac:dyDescent="0.35">
      <c r="A40" t="s">
        <v>2147</v>
      </c>
      <c r="C40" t="s">
        <v>2954</v>
      </c>
      <c r="D40" s="32" t="s">
        <v>917</v>
      </c>
      <c r="M40" s="74" t="s">
        <v>2340</v>
      </c>
      <c r="Q40" t="s">
        <v>3077</v>
      </c>
      <c r="R40" t="s">
        <v>107</v>
      </c>
      <c r="W40" t="s">
        <v>1788</v>
      </c>
      <c r="AA40" s="12" t="s">
        <v>1106</v>
      </c>
      <c r="AB40" t="s">
        <v>710</v>
      </c>
      <c r="AE40" s="3" t="s">
        <v>950</v>
      </c>
      <c r="AJ40" t="s">
        <v>3304</v>
      </c>
      <c r="AM40" t="s">
        <v>2687</v>
      </c>
      <c r="AP40" s="82" t="s">
        <v>2989</v>
      </c>
      <c r="AY40" t="s">
        <v>3284</v>
      </c>
      <c r="BE40" t="s">
        <v>2288</v>
      </c>
      <c r="BH40" s="74" t="s">
        <v>3673</v>
      </c>
      <c r="BQ40" t="s">
        <v>1846</v>
      </c>
      <c r="BT40" s="81" t="s">
        <v>2573</v>
      </c>
    </row>
    <row r="41" spans="1:72" x14ac:dyDescent="0.35">
      <c r="A41" t="s">
        <v>2148</v>
      </c>
      <c r="C41" t="s">
        <v>2955</v>
      </c>
      <c r="D41" s="33" t="s">
        <v>918</v>
      </c>
      <c r="I41" s="3" t="s">
        <v>896</v>
      </c>
      <c r="M41" s="74" t="s">
        <v>2341</v>
      </c>
      <c r="Q41" t="s">
        <v>3080</v>
      </c>
      <c r="R41" t="s">
        <v>108</v>
      </c>
      <c r="W41" t="s">
        <v>1789</v>
      </c>
      <c r="AA41" s="12" t="s">
        <v>1107</v>
      </c>
      <c r="AB41" t="s">
        <v>711</v>
      </c>
      <c r="AE41" s="40" t="s">
        <v>1616</v>
      </c>
      <c r="AF41" s="44"/>
      <c r="AJ41" s="82" t="s">
        <v>3305</v>
      </c>
      <c r="AM41" t="s">
        <v>2688</v>
      </c>
      <c r="AP41" s="82" t="s">
        <v>2990</v>
      </c>
      <c r="AY41" t="s">
        <v>3290</v>
      </c>
      <c r="BE41" t="s">
        <v>2289</v>
      </c>
      <c r="BH41" s="74" t="s">
        <v>3674</v>
      </c>
      <c r="BQ41" t="s">
        <v>1847</v>
      </c>
      <c r="BT41" s="81" t="s">
        <v>2574</v>
      </c>
    </row>
    <row r="42" spans="1:72" x14ac:dyDescent="0.35">
      <c r="A42" t="s">
        <v>2149</v>
      </c>
      <c r="C42" t="s">
        <v>2956</v>
      </c>
      <c r="D42" s="33" t="s">
        <v>919</v>
      </c>
      <c r="I42" t="s">
        <v>2304</v>
      </c>
      <c r="J42" t="s">
        <v>952</v>
      </c>
      <c r="M42" s="74" t="s">
        <v>2342</v>
      </c>
      <c r="Q42" t="s">
        <v>3074</v>
      </c>
      <c r="R42" t="s">
        <v>109</v>
      </c>
      <c r="W42" t="s">
        <v>1790</v>
      </c>
      <c r="AA42" s="12" t="s">
        <v>1108</v>
      </c>
      <c r="AB42" t="s">
        <v>712</v>
      </c>
      <c r="AE42" s="40" t="s">
        <v>1617</v>
      </c>
      <c r="AF42" s="44"/>
      <c r="AJ42" s="82" t="s">
        <v>3306</v>
      </c>
      <c r="AM42" t="s">
        <v>2689</v>
      </c>
      <c r="AP42" s="82" t="s">
        <v>2991</v>
      </c>
      <c r="AY42" t="s">
        <v>3279</v>
      </c>
      <c r="BE42" t="s">
        <v>1758</v>
      </c>
      <c r="BH42" s="74" t="s">
        <v>3675</v>
      </c>
      <c r="BQ42" t="s">
        <v>1848</v>
      </c>
      <c r="BT42" s="81" t="s">
        <v>2575</v>
      </c>
    </row>
    <row r="43" spans="1:72" ht="15" customHeight="1" x14ac:dyDescent="0.35">
      <c r="A43" t="s">
        <v>2150</v>
      </c>
      <c r="C43" s="57"/>
      <c r="I43" t="s">
        <v>2305</v>
      </c>
      <c r="J43" t="s">
        <v>953</v>
      </c>
      <c r="M43" s="74" t="s">
        <v>2343</v>
      </c>
      <c r="Q43" t="s">
        <v>1029</v>
      </c>
      <c r="R43" t="s">
        <v>110</v>
      </c>
      <c r="W43" t="s">
        <v>1791</v>
      </c>
      <c r="AA43" s="12" t="s">
        <v>1109</v>
      </c>
      <c r="AB43" t="s">
        <v>713</v>
      </c>
      <c r="AE43" s="40" t="s">
        <v>1618</v>
      </c>
      <c r="AF43" s="48"/>
      <c r="AJ43" s="82" t="s">
        <v>3307</v>
      </c>
      <c r="AM43" t="s">
        <v>2690</v>
      </c>
      <c r="AP43" s="82" t="s">
        <v>2992</v>
      </c>
      <c r="AY43" t="s">
        <v>3285</v>
      </c>
      <c r="BE43" t="s">
        <v>1776</v>
      </c>
      <c r="BH43" s="74" t="s">
        <v>3676</v>
      </c>
      <c r="BQ43" t="s">
        <v>1849</v>
      </c>
      <c r="BT43" s="81" t="s">
        <v>2576</v>
      </c>
    </row>
    <row r="44" spans="1:72" x14ac:dyDescent="0.35">
      <c r="A44" t="s">
        <v>2151</v>
      </c>
      <c r="C44" s="34" t="s">
        <v>878</v>
      </c>
      <c r="D44" s="31"/>
      <c r="I44" t="s">
        <v>2306</v>
      </c>
      <c r="J44" t="s">
        <v>954</v>
      </c>
      <c r="M44" s="74" t="s">
        <v>2344</v>
      </c>
      <c r="Q44" t="s">
        <v>3239</v>
      </c>
      <c r="R44" t="s">
        <v>111</v>
      </c>
      <c r="W44" t="s">
        <v>1792</v>
      </c>
      <c r="AA44" s="12" t="s">
        <v>1110</v>
      </c>
      <c r="AB44" t="s">
        <v>714</v>
      </c>
      <c r="AE44" s="40" t="s">
        <v>1619</v>
      </c>
      <c r="AF44" s="48"/>
      <c r="AJ44" t="s">
        <v>3308</v>
      </c>
      <c r="AM44" t="s">
        <v>2691</v>
      </c>
      <c r="AP44" s="82" t="s">
        <v>2993</v>
      </c>
      <c r="AY44" t="s">
        <v>3291</v>
      </c>
      <c r="BE44" t="s">
        <v>1759</v>
      </c>
      <c r="BH44" s="74" t="s">
        <v>3677</v>
      </c>
      <c r="BQ44" t="s">
        <v>1850</v>
      </c>
      <c r="BT44" s="81" t="s">
        <v>2577</v>
      </c>
    </row>
    <row r="45" spans="1:72" x14ac:dyDescent="0.35">
      <c r="A45" t="s">
        <v>2152</v>
      </c>
      <c r="C45" s="31" t="s">
        <v>1005</v>
      </c>
      <c r="D45" s="31" t="s">
        <v>920</v>
      </c>
      <c r="I45" t="s">
        <v>2307</v>
      </c>
      <c r="J45" t="s">
        <v>955</v>
      </c>
      <c r="M45" s="74" t="s">
        <v>2345</v>
      </c>
      <c r="Q45" t="s">
        <v>3083</v>
      </c>
      <c r="R45" t="s">
        <v>112</v>
      </c>
      <c r="W45" t="s">
        <v>1793</v>
      </c>
      <c r="AA45" s="12" t="s">
        <v>1111</v>
      </c>
      <c r="AB45" t="s">
        <v>715</v>
      </c>
      <c r="AE45" s="41" t="s">
        <v>1620</v>
      </c>
      <c r="AF45" s="45"/>
      <c r="AJ45" t="s">
        <v>3309</v>
      </c>
      <c r="AM45" t="s">
        <v>2692</v>
      </c>
      <c r="AP45" s="82" t="s">
        <v>2994</v>
      </c>
      <c r="AY45" t="s">
        <v>3280</v>
      </c>
      <c r="BE45" t="s">
        <v>1777</v>
      </c>
      <c r="BH45" s="74" t="s">
        <v>3678</v>
      </c>
      <c r="BQ45" t="s">
        <v>1851</v>
      </c>
      <c r="BT45" s="81" t="s">
        <v>2578</v>
      </c>
    </row>
    <row r="46" spans="1:72" x14ac:dyDescent="0.35">
      <c r="A46" t="s">
        <v>2153</v>
      </c>
      <c r="C46" s="31" t="s">
        <v>1006</v>
      </c>
      <c r="D46" s="31" t="s">
        <v>921</v>
      </c>
      <c r="I46" t="s">
        <v>2308</v>
      </c>
      <c r="J46" t="s">
        <v>956</v>
      </c>
      <c r="M46" s="74" t="s">
        <v>2346</v>
      </c>
      <c r="Q46" t="s">
        <v>3081</v>
      </c>
      <c r="R46" t="s">
        <v>113</v>
      </c>
      <c r="W46" t="s">
        <v>1794</v>
      </c>
      <c r="AA46" s="12" t="s">
        <v>1112</v>
      </c>
      <c r="AB46" t="s">
        <v>716</v>
      </c>
      <c r="AE46" s="40" t="s">
        <v>1621</v>
      </c>
      <c r="AF46" s="44"/>
      <c r="AJ46" t="s">
        <v>3310</v>
      </c>
      <c r="AM46" t="s">
        <v>2693</v>
      </c>
      <c r="AP46" s="82" t="s">
        <v>2995</v>
      </c>
      <c r="AY46" t="s">
        <v>3286</v>
      </c>
      <c r="BE46" t="s">
        <v>1760</v>
      </c>
      <c r="BH46" s="74" t="s">
        <v>3679</v>
      </c>
      <c r="BQ46" t="s">
        <v>1852</v>
      </c>
      <c r="BT46" s="81" t="s">
        <v>2579</v>
      </c>
    </row>
    <row r="47" spans="1:72" x14ac:dyDescent="0.35">
      <c r="A47" t="s">
        <v>2154</v>
      </c>
      <c r="C47" s="31" t="s">
        <v>1007</v>
      </c>
      <c r="D47" s="31" t="s">
        <v>922</v>
      </c>
      <c r="I47" t="s">
        <v>2309</v>
      </c>
      <c r="J47" t="s">
        <v>957</v>
      </c>
      <c r="M47" s="74" t="s">
        <v>2347</v>
      </c>
      <c r="Q47" t="s">
        <v>1030</v>
      </c>
      <c r="R47" t="s">
        <v>114</v>
      </c>
      <c r="W47" t="s">
        <v>1795</v>
      </c>
      <c r="AA47" s="12" t="s">
        <v>1113</v>
      </c>
      <c r="AB47" t="s">
        <v>718</v>
      </c>
      <c r="AE47" s="40" t="s">
        <v>1622</v>
      </c>
      <c r="AF47" s="44"/>
      <c r="AJ47" t="s">
        <v>3311</v>
      </c>
      <c r="AM47" t="s">
        <v>2694</v>
      </c>
      <c r="AP47" s="82" t="s">
        <v>2996</v>
      </c>
      <c r="AY47" t="s">
        <v>3292</v>
      </c>
      <c r="BE47" t="s">
        <v>1778</v>
      </c>
      <c r="BH47" s="74" t="s">
        <v>3680</v>
      </c>
      <c r="BQ47" t="s">
        <v>1853</v>
      </c>
      <c r="BT47" s="81" t="s">
        <v>2580</v>
      </c>
    </row>
    <row r="48" spans="1:72" x14ac:dyDescent="0.35">
      <c r="A48" t="s">
        <v>2155</v>
      </c>
      <c r="C48" s="31" t="s">
        <v>1008</v>
      </c>
      <c r="D48" s="31" t="s">
        <v>923</v>
      </c>
      <c r="I48" t="s">
        <v>2310</v>
      </c>
      <c r="J48" t="s">
        <v>958</v>
      </c>
      <c r="M48" s="74" t="s">
        <v>2348</v>
      </c>
      <c r="Q48" t="s">
        <v>1031</v>
      </c>
      <c r="R48" t="s">
        <v>115</v>
      </c>
      <c r="W48" t="s">
        <v>1796</v>
      </c>
      <c r="AA48" s="12" t="s">
        <v>1114</v>
      </c>
      <c r="AB48" t="s">
        <v>717</v>
      </c>
      <c r="AE48" s="40" t="s">
        <v>1623</v>
      </c>
      <c r="AF48" s="44"/>
      <c r="AJ48" t="s">
        <v>3312</v>
      </c>
      <c r="AM48" t="s">
        <v>2695</v>
      </c>
      <c r="AP48" s="82" t="s">
        <v>2997</v>
      </c>
      <c r="AY48" t="s">
        <v>3281</v>
      </c>
      <c r="BE48" t="s">
        <v>2290</v>
      </c>
      <c r="BH48" s="74" t="s">
        <v>3681</v>
      </c>
      <c r="BQ48" t="s">
        <v>1854</v>
      </c>
      <c r="BT48" s="81" t="s">
        <v>2581</v>
      </c>
    </row>
    <row r="49" spans="1:72" x14ac:dyDescent="0.35">
      <c r="A49" t="s">
        <v>2156</v>
      </c>
      <c r="C49" s="31" t="s">
        <v>1009</v>
      </c>
      <c r="D49" s="31" t="s">
        <v>924</v>
      </c>
      <c r="I49" t="s">
        <v>2311</v>
      </c>
      <c r="J49" t="s">
        <v>959</v>
      </c>
      <c r="M49" s="74" t="s">
        <v>2349</v>
      </c>
      <c r="Q49" t="s">
        <v>3075</v>
      </c>
      <c r="R49" t="s">
        <v>116</v>
      </c>
      <c r="W49" t="s">
        <v>1797</v>
      </c>
      <c r="AA49" s="12" t="s">
        <v>1115</v>
      </c>
      <c r="AB49" t="s">
        <v>719</v>
      </c>
      <c r="AE49" s="40" t="s">
        <v>1624</v>
      </c>
      <c r="AF49" s="44"/>
      <c r="AJ49" t="s">
        <v>3313</v>
      </c>
      <c r="AM49" t="s">
        <v>2696</v>
      </c>
      <c r="AP49" s="82" t="s">
        <v>2998</v>
      </c>
      <c r="AY49" t="s">
        <v>3287</v>
      </c>
      <c r="BE49" t="s">
        <v>2291</v>
      </c>
      <c r="BH49" s="74" t="s">
        <v>3682</v>
      </c>
      <c r="BQ49" t="s">
        <v>1855</v>
      </c>
      <c r="BT49" s="81" t="s">
        <v>2582</v>
      </c>
    </row>
    <row r="50" spans="1:72" x14ac:dyDescent="0.35">
      <c r="A50" t="s">
        <v>2157</v>
      </c>
      <c r="C50" s="31" t="s">
        <v>1010</v>
      </c>
      <c r="D50" s="31" t="s">
        <v>925</v>
      </c>
      <c r="I50" t="s">
        <v>2312</v>
      </c>
      <c r="J50" t="s">
        <v>960</v>
      </c>
      <c r="M50" s="74" t="s">
        <v>2350</v>
      </c>
      <c r="Q50" t="s">
        <v>3078</v>
      </c>
      <c r="R50" t="s">
        <v>117</v>
      </c>
      <c r="W50" t="s">
        <v>1798</v>
      </c>
      <c r="AA50" s="12" t="s">
        <v>1116</v>
      </c>
      <c r="AB50" t="s">
        <v>720</v>
      </c>
      <c r="AE50" s="40" t="s">
        <v>1625</v>
      </c>
      <c r="AF50" s="44"/>
      <c r="AJ50" t="s">
        <v>3314</v>
      </c>
      <c r="AM50" t="s">
        <v>2697</v>
      </c>
      <c r="AP50" s="82" t="s">
        <v>2999</v>
      </c>
      <c r="AY50" t="s">
        <v>3293</v>
      </c>
      <c r="BH50" s="74" t="s">
        <v>3683</v>
      </c>
      <c r="BQ50" t="s">
        <v>1856</v>
      </c>
      <c r="BT50" s="81" t="s">
        <v>1999</v>
      </c>
    </row>
    <row r="51" spans="1:72" x14ac:dyDescent="0.35">
      <c r="A51" t="s">
        <v>2158</v>
      </c>
      <c r="C51" s="31" t="s">
        <v>1011</v>
      </c>
      <c r="D51" s="31" t="s">
        <v>313</v>
      </c>
      <c r="J51" t="s">
        <v>961</v>
      </c>
      <c r="M51" s="74" t="s">
        <v>2351</v>
      </c>
      <c r="Q51" t="s">
        <v>3082</v>
      </c>
      <c r="R51" t="s">
        <v>118</v>
      </c>
      <c r="W51" t="s">
        <v>1799</v>
      </c>
      <c r="AA51" s="12" t="s">
        <v>1117</v>
      </c>
      <c r="AB51" t="s">
        <v>721</v>
      </c>
      <c r="AE51" s="40" t="s">
        <v>1626</v>
      </c>
      <c r="AF51" s="44"/>
      <c r="AJ51" t="s">
        <v>3315</v>
      </c>
      <c r="AM51" t="s">
        <v>2698</v>
      </c>
      <c r="AP51" s="82" t="s">
        <v>3000</v>
      </c>
      <c r="BH51" s="74" t="s">
        <v>3684</v>
      </c>
      <c r="BQ51" t="s">
        <v>1857</v>
      </c>
      <c r="BT51" s="81" t="s">
        <v>2583</v>
      </c>
    </row>
    <row r="52" spans="1:72" x14ac:dyDescent="0.35">
      <c r="A52" t="s">
        <v>2159</v>
      </c>
      <c r="C52" s="31" t="s">
        <v>1012</v>
      </c>
      <c r="D52" s="31" t="s">
        <v>926</v>
      </c>
      <c r="J52" t="s">
        <v>962</v>
      </c>
      <c r="M52" s="74" t="s">
        <v>2352</v>
      </c>
      <c r="Q52" t="s">
        <v>3085</v>
      </c>
      <c r="R52" t="s">
        <v>119</v>
      </c>
      <c r="W52" t="s">
        <v>1800</v>
      </c>
      <c r="AA52" s="12" t="s">
        <v>1118</v>
      </c>
      <c r="AB52" t="s">
        <v>722</v>
      </c>
      <c r="AE52" s="40" t="s">
        <v>1627</v>
      </c>
      <c r="AF52" s="49"/>
      <c r="AJ52" t="s">
        <v>3316</v>
      </c>
      <c r="AM52" t="s">
        <v>2699</v>
      </c>
      <c r="AP52" s="82" t="s">
        <v>3001</v>
      </c>
      <c r="BH52" s="74" t="s">
        <v>3685</v>
      </c>
      <c r="BQ52" t="s">
        <v>1858</v>
      </c>
      <c r="BT52" s="81" t="s">
        <v>2004</v>
      </c>
    </row>
    <row r="53" spans="1:72" x14ac:dyDescent="0.35">
      <c r="A53" t="s">
        <v>2160</v>
      </c>
      <c r="J53" t="s">
        <v>963</v>
      </c>
      <c r="M53" s="74" t="s">
        <v>2353</v>
      </c>
      <c r="Q53" t="s">
        <v>3881</v>
      </c>
      <c r="R53" t="s">
        <v>120</v>
      </c>
      <c r="W53" t="s">
        <v>1801</v>
      </c>
      <c r="AA53" s="12" t="s">
        <v>1119</v>
      </c>
      <c r="AB53" t="s">
        <v>723</v>
      </c>
      <c r="AE53" s="40" t="s">
        <v>1628</v>
      </c>
      <c r="AF53" s="44"/>
      <c r="AJ53" t="s">
        <v>3317</v>
      </c>
      <c r="AM53" t="s">
        <v>2700</v>
      </c>
      <c r="AP53" t="s">
        <v>2097</v>
      </c>
      <c r="BH53" s="74" t="s">
        <v>3686</v>
      </c>
      <c r="BQ53" t="s">
        <v>1859</v>
      </c>
      <c r="BT53" s="81" t="s">
        <v>2009</v>
      </c>
    </row>
    <row r="54" spans="1:72" x14ac:dyDescent="0.35">
      <c r="A54" t="s">
        <v>2161</v>
      </c>
      <c r="C54" s="3" t="s">
        <v>877</v>
      </c>
      <c r="J54" t="s">
        <v>964</v>
      </c>
      <c r="M54" s="74" t="s">
        <v>2354</v>
      </c>
      <c r="Q54" t="s">
        <v>3076</v>
      </c>
      <c r="R54" t="s">
        <v>121</v>
      </c>
      <c r="W54" t="s">
        <v>1802</v>
      </c>
      <c r="AA54" s="12" t="s">
        <v>1120</v>
      </c>
      <c r="AB54" t="s">
        <v>724</v>
      </c>
      <c r="AE54" s="41" t="s">
        <v>1629</v>
      </c>
      <c r="AF54" s="44"/>
      <c r="AJ54" t="s">
        <v>3318</v>
      </c>
      <c r="AM54" t="s">
        <v>2701</v>
      </c>
      <c r="AP54" t="s">
        <v>2098</v>
      </c>
      <c r="BH54" s="74" t="s">
        <v>3687</v>
      </c>
      <c r="BQ54" t="s">
        <v>1860</v>
      </c>
      <c r="BT54" s="81" t="s">
        <v>2584</v>
      </c>
    </row>
    <row r="55" spans="1:72" x14ac:dyDescent="0.35">
      <c r="A55" t="s">
        <v>2162</v>
      </c>
      <c r="C55" s="35">
        <v>11</v>
      </c>
      <c r="D55" s="35" t="s">
        <v>927</v>
      </c>
      <c r="J55" t="s">
        <v>965</v>
      </c>
      <c r="M55" s="74" t="s">
        <v>2355</v>
      </c>
      <c r="Q55" t="s">
        <v>3086</v>
      </c>
      <c r="R55" t="s">
        <v>122</v>
      </c>
      <c r="W55" t="s">
        <v>1803</v>
      </c>
      <c r="AA55" s="12" t="s">
        <v>1121</v>
      </c>
      <c r="AB55" t="s">
        <v>725</v>
      </c>
      <c r="AE55" s="40" t="s">
        <v>1630</v>
      </c>
      <c r="AF55" s="50"/>
      <c r="AJ55" s="82" t="s">
        <v>3319</v>
      </c>
      <c r="AM55" t="s">
        <v>2702</v>
      </c>
      <c r="AP55" t="s">
        <v>2099</v>
      </c>
      <c r="BH55" s="74" t="s">
        <v>3688</v>
      </c>
      <c r="BQ55" t="s">
        <v>1861</v>
      </c>
      <c r="BT55" s="81" t="s">
        <v>2585</v>
      </c>
    </row>
    <row r="56" spans="1:72" ht="15" customHeight="1" x14ac:dyDescent="0.35">
      <c r="A56" t="s">
        <v>2163</v>
      </c>
      <c r="C56" s="35">
        <v>12</v>
      </c>
      <c r="D56" s="35" t="s">
        <v>928</v>
      </c>
      <c r="J56" t="s">
        <v>966</v>
      </c>
      <c r="M56" s="74" t="s">
        <v>2356</v>
      </c>
      <c r="Q56" t="s">
        <v>3087</v>
      </c>
      <c r="R56" t="s">
        <v>123</v>
      </c>
      <c r="W56" t="s">
        <v>1804</v>
      </c>
      <c r="AA56" s="12" t="s">
        <v>1122</v>
      </c>
      <c r="AB56" t="s">
        <v>726</v>
      </c>
      <c r="AE56" s="40" t="s">
        <v>1631</v>
      </c>
      <c r="AF56" s="50"/>
      <c r="AJ56" s="82" t="s">
        <v>3320</v>
      </c>
      <c r="AM56" t="s">
        <v>2703</v>
      </c>
      <c r="AP56" t="s">
        <v>2100</v>
      </c>
      <c r="BH56" s="74" t="s">
        <v>3689</v>
      </c>
      <c r="BQ56" t="s">
        <v>1862</v>
      </c>
      <c r="BT56" s="81" t="s">
        <v>2586</v>
      </c>
    </row>
    <row r="57" spans="1:72" ht="14.25" customHeight="1" x14ac:dyDescent="0.35">
      <c r="A57" t="s">
        <v>2164</v>
      </c>
      <c r="C57" s="36">
        <v>21</v>
      </c>
      <c r="D57" s="36" t="s">
        <v>929</v>
      </c>
      <c r="J57" t="s">
        <v>967</v>
      </c>
      <c r="Q57" t="s">
        <v>3109</v>
      </c>
      <c r="R57" t="s">
        <v>124</v>
      </c>
      <c r="W57" t="s">
        <v>1805</v>
      </c>
      <c r="AA57" s="12" t="s">
        <v>1123</v>
      </c>
      <c r="AB57" t="s">
        <v>727</v>
      </c>
      <c r="AE57" s="47" t="s">
        <v>1632</v>
      </c>
      <c r="AF57" s="51"/>
      <c r="AJ57" s="82" t="s">
        <v>3321</v>
      </c>
      <c r="AM57" t="s">
        <v>2704</v>
      </c>
      <c r="AP57" t="s">
        <v>2101</v>
      </c>
      <c r="BH57" s="74" t="s">
        <v>3690</v>
      </c>
      <c r="BQ57" t="s">
        <v>1863</v>
      </c>
      <c r="BT57" s="81" t="s">
        <v>2005</v>
      </c>
    </row>
    <row r="58" spans="1:72" ht="17.25" customHeight="1" x14ac:dyDescent="0.35">
      <c r="A58" t="s">
        <v>2165</v>
      </c>
      <c r="C58" s="36">
        <v>22</v>
      </c>
      <c r="D58" s="36" t="s">
        <v>930</v>
      </c>
      <c r="J58" t="s">
        <v>968</v>
      </c>
      <c r="Q58" t="s">
        <v>3089</v>
      </c>
      <c r="R58" t="s">
        <v>125</v>
      </c>
      <c r="AA58" s="12" t="s">
        <v>1124</v>
      </c>
      <c r="AB58" t="s">
        <v>728</v>
      </c>
      <c r="AE58" s="47" t="s">
        <v>1633</v>
      </c>
      <c r="AF58" s="51"/>
      <c r="AJ58" t="s">
        <v>2509</v>
      </c>
      <c r="AM58" t="s">
        <v>2705</v>
      </c>
      <c r="AP58" t="s">
        <v>2102</v>
      </c>
      <c r="BH58" s="74" t="s">
        <v>3691</v>
      </c>
      <c r="BQ58" t="s">
        <v>1864</v>
      </c>
      <c r="BT58" s="81" t="s">
        <v>2587</v>
      </c>
    </row>
    <row r="59" spans="1:72" x14ac:dyDescent="0.35">
      <c r="A59" t="s">
        <v>2166</v>
      </c>
      <c r="J59" t="s">
        <v>969</v>
      </c>
      <c r="Q59" t="s">
        <v>3088</v>
      </c>
      <c r="R59" t="s">
        <v>126</v>
      </c>
      <c r="AA59" s="12" t="s">
        <v>1125</v>
      </c>
      <c r="AB59" t="s">
        <v>729</v>
      </c>
      <c r="AE59" s="47" t="s">
        <v>1634</v>
      </c>
      <c r="AF59" s="51"/>
      <c r="AJ59" t="s">
        <v>2510</v>
      </c>
      <c r="AM59" t="s">
        <v>2706</v>
      </c>
      <c r="AP59" t="s">
        <v>2103</v>
      </c>
      <c r="BH59" s="74" t="s">
        <v>3692</v>
      </c>
      <c r="BQ59" t="s">
        <v>1865</v>
      </c>
      <c r="BT59" s="81" t="s">
        <v>2006</v>
      </c>
    </row>
    <row r="60" spans="1:72" x14ac:dyDescent="0.35">
      <c r="A60" t="s">
        <v>2167</v>
      </c>
      <c r="J60" t="s">
        <v>970</v>
      </c>
      <c r="Q60" t="s">
        <v>1032</v>
      </c>
      <c r="R60" t="s">
        <v>127</v>
      </c>
      <c r="AA60" s="12" t="s">
        <v>1126</v>
      </c>
      <c r="AB60" t="s">
        <v>730</v>
      </c>
      <c r="AE60" s="47" t="s">
        <v>1609</v>
      </c>
      <c r="AF60" s="51" t="s">
        <v>949</v>
      </c>
      <c r="AJ60" t="s">
        <v>2511</v>
      </c>
      <c r="AM60" t="s">
        <v>2707</v>
      </c>
      <c r="AP60" t="s">
        <v>2104</v>
      </c>
      <c r="BH60" s="74" t="s">
        <v>3693</v>
      </c>
      <c r="BQ60" t="s">
        <v>1866</v>
      </c>
      <c r="BT60" s="81" t="s">
        <v>2007</v>
      </c>
    </row>
    <row r="61" spans="1:72" x14ac:dyDescent="0.35">
      <c r="A61" t="s">
        <v>2168</v>
      </c>
      <c r="C61" s="3" t="s">
        <v>879</v>
      </c>
      <c r="F61" t="s">
        <v>2336</v>
      </c>
      <c r="Q61" t="s">
        <v>3090</v>
      </c>
      <c r="R61" t="s">
        <v>128</v>
      </c>
      <c r="AA61" s="12" t="s">
        <v>1127</v>
      </c>
      <c r="AB61" t="s">
        <v>731</v>
      </c>
      <c r="AE61" s="40" t="s">
        <v>1610</v>
      </c>
      <c r="AF61" s="52" t="s">
        <v>926</v>
      </c>
      <c r="AJ61" t="s">
        <v>2512</v>
      </c>
      <c r="AM61" t="s">
        <v>2708</v>
      </c>
      <c r="AP61" t="s">
        <v>2105</v>
      </c>
      <c r="BH61" s="74" t="s">
        <v>3694</v>
      </c>
      <c r="BQ61" t="s">
        <v>1867</v>
      </c>
      <c r="BT61" s="81" t="s">
        <v>2008</v>
      </c>
    </row>
    <row r="62" spans="1:72" x14ac:dyDescent="0.35">
      <c r="A62" t="s">
        <v>2169</v>
      </c>
      <c r="C62" s="2" t="s">
        <v>2087</v>
      </c>
      <c r="E62" s="37"/>
      <c r="F62" t="s">
        <v>2337</v>
      </c>
      <c r="Q62" t="s">
        <v>3040</v>
      </c>
      <c r="R62" t="s">
        <v>129</v>
      </c>
      <c r="AA62" s="12" t="s">
        <v>1128</v>
      </c>
      <c r="AB62" t="s">
        <v>732</v>
      </c>
      <c r="AJ62" t="s">
        <v>2513</v>
      </c>
      <c r="AM62" t="s">
        <v>2709</v>
      </c>
      <c r="BH62" s="74" t="s">
        <v>3695</v>
      </c>
      <c r="BQ62" t="s">
        <v>1868</v>
      </c>
      <c r="BT62" s="81" t="s">
        <v>2588</v>
      </c>
    </row>
    <row r="63" spans="1:72" x14ac:dyDescent="0.35">
      <c r="A63" t="s">
        <v>2170</v>
      </c>
      <c r="C63" s="2" t="s">
        <v>2088</v>
      </c>
      <c r="E63" s="37"/>
      <c r="F63" t="s">
        <v>2541</v>
      </c>
      <c r="I63" s="3" t="s">
        <v>904</v>
      </c>
      <c r="Q63" t="s">
        <v>3091</v>
      </c>
      <c r="R63" t="s">
        <v>130</v>
      </c>
      <c r="AA63" s="12" t="s">
        <v>1129</v>
      </c>
      <c r="AB63" t="s">
        <v>733</v>
      </c>
      <c r="AJ63" t="s">
        <v>2514</v>
      </c>
      <c r="AM63" t="s">
        <v>2710</v>
      </c>
      <c r="BH63" s="74" t="s">
        <v>3696</v>
      </c>
      <c r="BQ63" t="s">
        <v>1869</v>
      </c>
      <c r="BT63" s="81" t="s">
        <v>2011</v>
      </c>
    </row>
    <row r="64" spans="1:72" ht="15" thickBot="1" x14ac:dyDescent="0.4">
      <c r="A64" t="s">
        <v>2171</v>
      </c>
      <c r="C64" s="2" t="s">
        <v>2089</v>
      </c>
      <c r="I64" s="31" t="s">
        <v>1015</v>
      </c>
      <c r="J64" s="31" t="s">
        <v>971</v>
      </c>
      <c r="Q64" t="s">
        <v>3096</v>
      </c>
      <c r="R64" t="s">
        <v>131</v>
      </c>
      <c r="AA64" s="12" t="s">
        <v>1130</v>
      </c>
      <c r="AB64" t="s">
        <v>734</v>
      </c>
      <c r="AE64" s="60" t="s">
        <v>2050</v>
      </c>
      <c r="AF64" s="61" t="s">
        <v>952</v>
      </c>
      <c r="AJ64" t="s">
        <v>2515</v>
      </c>
      <c r="AM64" t="s">
        <v>2711</v>
      </c>
      <c r="BH64" s="74" t="s">
        <v>3697</v>
      </c>
      <c r="BQ64" t="s">
        <v>1870</v>
      </c>
      <c r="BT64" s="81" t="s">
        <v>2589</v>
      </c>
    </row>
    <row r="65" spans="1:72" ht="15" thickBot="1" x14ac:dyDescent="0.4">
      <c r="A65" t="s">
        <v>2172</v>
      </c>
      <c r="C65" s="2" t="s">
        <v>2090</v>
      </c>
      <c r="I65" s="31" t="s">
        <v>1016</v>
      </c>
      <c r="J65" s="31" t="s">
        <v>972</v>
      </c>
      <c r="Q65" t="s">
        <v>3092</v>
      </c>
      <c r="R65" t="s">
        <v>132</v>
      </c>
      <c r="AA65" s="12" t="s">
        <v>1131</v>
      </c>
      <c r="AB65" t="s">
        <v>735</v>
      </c>
      <c r="AE65" s="60" t="s">
        <v>2051</v>
      </c>
      <c r="AF65" s="61" t="s">
        <v>953</v>
      </c>
      <c r="AJ65" t="s">
        <v>2516</v>
      </c>
      <c r="AM65" t="s">
        <v>2712</v>
      </c>
      <c r="BH65" s="74" t="s">
        <v>3698</v>
      </c>
      <c r="BQ65" t="s">
        <v>1871</v>
      </c>
      <c r="BT65" s="81" t="s">
        <v>2012</v>
      </c>
    </row>
    <row r="66" spans="1:72" ht="15" thickBot="1" x14ac:dyDescent="0.4">
      <c r="A66" t="s">
        <v>2173</v>
      </c>
      <c r="C66" s="2" t="s">
        <v>2091</v>
      </c>
      <c r="E66" s="37"/>
      <c r="I66" s="31" t="s">
        <v>1017</v>
      </c>
      <c r="J66" s="31" t="s">
        <v>973</v>
      </c>
      <c r="Q66" t="s">
        <v>3268</v>
      </c>
      <c r="R66" t="s">
        <v>133</v>
      </c>
      <c r="AA66" s="12" t="s">
        <v>1132</v>
      </c>
      <c r="AB66" t="s">
        <v>736</v>
      </c>
      <c r="AE66" s="60" t="s">
        <v>2052</v>
      </c>
      <c r="AF66" s="61" t="s">
        <v>954</v>
      </c>
      <c r="AJ66" t="s">
        <v>2517</v>
      </c>
      <c r="AM66" t="s">
        <v>2713</v>
      </c>
      <c r="BH66" s="74" t="s">
        <v>3699</v>
      </c>
      <c r="BQ66" t="s">
        <v>1872</v>
      </c>
      <c r="BT66" s="81" t="s">
        <v>2021</v>
      </c>
    </row>
    <row r="67" spans="1:72" ht="15" thickBot="1" x14ac:dyDescent="0.4">
      <c r="A67" t="s">
        <v>2174</v>
      </c>
      <c r="C67" s="3" t="s">
        <v>880</v>
      </c>
      <c r="I67" s="31" t="s">
        <v>1018</v>
      </c>
      <c r="J67" s="31" t="s">
        <v>974</v>
      </c>
      <c r="Q67" t="s">
        <v>3095</v>
      </c>
      <c r="R67" t="s">
        <v>134</v>
      </c>
      <c r="AA67" s="12" t="s">
        <v>1133</v>
      </c>
      <c r="AB67" t="s">
        <v>737</v>
      </c>
      <c r="AE67" s="60" t="s">
        <v>2053</v>
      </c>
      <c r="AF67" s="61" t="s">
        <v>955</v>
      </c>
      <c r="AJ67" t="s">
        <v>2518</v>
      </c>
      <c r="AM67" t="s">
        <v>2714</v>
      </c>
      <c r="BH67" s="74" t="s">
        <v>3700</v>
      </c>
      <c r="BQ67" t="s">
        <v>1873</v>
      </c>
      <c r="BT67" s="81" t="s">
        <v>2590</v>
      </c>
    </row>
    <row r="68" spans="1:72" ht="15" thickBot="1" x14ac:dyDescent="0.4">
      <c r="A68" t="s">
        <v>2175</v>
      </c>
      <c r="C68" t="s">
        <v>1019</v>
      </c>
      <c r="D68" t="s">
        <v>977</v>
      </c>
      <c r="Q68" t="s">
        <v>3232</v>
      </c>
      <c r="R68" t="s">
        <v>135</v>
      </c>
      <c r="AA68" s="12" t="s">
        <v>1134</v>
      </c>
      <c r="AB68" t="s">
        <v>738</v>
      </c>
      <c r="AE68" s="60" t="s">
        <v>2054</v>
      </c>
      <c r="AF68" s="61" t="s">
        <v>956</v>
      </c>
      <c r="AJ68" t="s">
        <v>2519</v>
      </c>
      <c r="AM68" t="s">
        <v>2108</v>
      </c>
      <c r="BH68" s="74" t="s">
        <v>3701</v>
      </c>
      <c r="BQ68" t="s">
        <v>1874</v>
      </c>
      <c r="BT68" s="81" t="s">
        <v>2591</v>
      </c>
    </row>
    <row r="69" spans="1:72" ht="15" thickBot="1" x14ac:dyDescent="0.4">
      <c r="A69" t="s">
        <v>2176</v>
      </c>
      <c r="C69" t="s">
        <v>1020</v>
      </c>
      <c r="D69" t="s">
        <v>978</v>
      </c>
      <c r="I69" t="s">
        <v>877</v>
      </c>
      <c r="Q69" t="s">
        <v>3097</v>
      </c>
      <c r="R69" t="s">
        <v>136</v>
      </c>
      <c r="AA69" s="12" t="s">
        <v>1135</v>
      </c>
      <c r="AB69" t="s">
        <v>739</v>
      </c>
      <c r="AE69" s="60" t="s">
        <v>2055</v>
      </c>
      <c r="AF69" s="61" t="s">
        <v>957</v>
      </c>
      <c r="AJ69" s="82" t="s">
        <v>2963</v>
      </c>
      <c r="AM69" t="s">
        <v>2715</v>
      </c>
      <c r="BH69" s="74" t="s">
        <v>3702</v>
      </c>
      <c r="BQ69" t="s">
        <v>1875</v>
      </c>
      <c r="BT69" s="81" t="s">
        <v>2592</v>
      </c>
    </row>
    <row r="70" spans="1:72" ht="15" thickBot="1" x14ac:dyDescent="0.4">
      <c r="A70" t="s">
        <v>2177</v>
      </c>
      <c r="C70" t="s">
        <v>1021</v>
      </c>
      <c r="D70" t="s">
        <v>979</v>
      </c>
      <c r="I70" t="s">
        <v>1013</v>
      </c>
      <c r="J70" t="s">
        <v>982</v>
      </c>
      <c r="Q70" t="s">
        <v>3101</v>
      </c>
      <c r="R70" t="s">
        <v>137</v>
      </c>
      <c r="AA70" s="12" t="s">
        <v>1136</v>
      </c>
      <c r="AB70" t="s">
        <v>740</v>
      </c>
      <c r="AE70" s="60" t="s">
        <v>2056</v>
      </c>
      <c r="AF70" s="61" t="s">
        <v>958</v>
      </c>
      <c r="AJ70" s="82" t="s">
        <v>2964</v>
      </c>
      <c r="AM70" t="s">
        <v>2716</v>
      </c>
      <c r="BH70" s="74" t="s">
        <v>3703</v>
      </c>
      <c r="BQ70" t="s">
        <v>1876</v>
      </c>
      <c r="BT70" s="81" t="s">
        <v>2019</v>
      </c>
    </row>
    <row r="71" spans="1:72" ht="15" thickBot="1" x14ac:dyDescent="0.4">
      <c r="A71" t="s">
        <v>2178</v>
      </c>
      <c r="C71" t="s">
        <v>1022</v>
      </c>
      <c r="D71" t="s">
        <v>980</v>
      </c>
      <c r="I71" t="s">
        <v>1014</v>
      </c>
      <c r="J71" t="s">
        <v>983</v>
      </c>
      <c r="Q71" t="s">
        <v>3100</v>
      </c>
      <c r="R71" t="s">
        <v>138</v>
      </c>
      <c r="AA71" s="12" t="s">
        <v>1137</v>
      </c>
      <c r="AB71" t="s">
        <v>741</v>
      </c>
      <c r="AE71" s="60" t="s">
        <v>2057</v>
      </c>
      <c r="AF71" s="61" t="s">
        <v>959</v>
      </c>
      <c r="AJ71" s="82" t="s">
        <v>2965</v>
      </c>
      <c r="AM71" t="s">
        <v>2717</v>
      </c>
      <c r="BH71" s="74" t="s">
        <v>3704</v>
      </c>
      <c r="BQ71" t="s">
        <v>1877</v>
      </c>
      <c r="BT71" s="81" t="s">
        <v>2020</v>
      </c>
    </row>
    <row r="72" spans="1:72" ht="15" thickBot="1" x14ac:dyDescent="0.4">
      <c r="A72" t="s">
        <v>2179</v>
      </c>
      <c r="C72" t="s">
        <v>1023</v>
      </c>
      <c r="D72" t="s">
        <v>981</v>
      </c>
      <c r="I72" t="s">
        <v>3275</v>
      </c>
      <c r="Q72" t="s">
        <v>3098</v>
      </c>
      <c r="R72" t="s">
        <v>139</v>
      </c>
      <c r="AA72" s="12" t="s">
        <v>1138</v>
      </c>
      <c r="AB72" t="s">
        <v>742</v>
      </c>
      <c r="AE72" s="60" t="s">
        <v>2058</v>
      </c>
      <c r="AF72" s="61" t="s">
        <v>960</v>
      </c>
      <c r="AH72" t="s">
        <v>1645</v>
      </c>
      <c r="AJ72" t="s">
        <v>2520</v>
      </c>
      <c r="AM72" t="s">
        <v>2718</v>
      </c>
      <c r="BH72" s="74" t="s">
        <v>3705</v>
      </c>
      <c r="BQ72" t="s">
        <v>1878</v>
      </c>
      <c r="BT72" s="81" t="s">
        <v>2106</v>
      </c>
    </row>
    <row r="73" spans="1:72" ht="15" thickBot="1" x14ac:dyDescent="0.4">
      <c r="A73" t="s">
        <v>2180</v>
      </c>
      <c r="C73" t="s">
        <v>1024</v>
      </c>
      <c r="D73" t="s">
        <v>926</v>
      </c>
      <c r="I73" s="3" t="s">
        <v>904</v>
      </c>
      <c r="Q73" t="s">
        <v>3171</v>
      </c>
      <c r="R73" t="s">
        <v>140</v>
      </c>
      <c r="AA73" s="12" t="s">
        <v>1139</v>
      </c>
      <c r="AB73" t="s">
        <v>743</v>
      </c>
      <c r="AE73" s="60" t="s">
        <v>2059</v>
      </c>
      <c r="AF73" s="61" t="s">
        <v>961</v>
      </c>
      <c r="AH73" t="s">
        <v>1659</v>
      </c>
      <c r="AJ73" t="s">
        <v>2521</v>
      </c>
      <c r="AM73" t="s">
        <v>2719</v>
      </c>
      <c r="BH73" s="74" t="s">
        <v>3706</v>
      </c>
      <c r="BQ73" t="s">
        <v>1879</v>
      </c>
      <c r="BT73" s="81" t="s">
        <v>2593</v>
      </c>
    </row>
    <row r="74" spans="1:72" ht="15" thickBot="1" x14ac:dyDescent="0.4">
      <c r="A74" t="s">
        <v>2181</v>
      </c>
      <c r="I74" s="83" t="s">
        <v>2075</v>
      </c>
      <c r="Q74" t="s">
        <v>3099</v>
      </c>
      <c r="R74" t="s">
        <v>141</v>
      </c>
      <c r="AA74" s="12" t="s">
        <v>1140</v>
      </c>
      <c r="AB74" t="s">
        <v>744</v>
      </c>
      <c r="AE74" s="60" t="s">
        <v>2060</v>
      </c>
      <c r="AF74" s="61" t="s">
        <v>962</v>
      </c>
      <c r="AH74" t="s">
        <v>1673</v>
      </c>
      <c r="AJ74" t="s">
        <v>2522</v>
      </c>
      <c r="AM74" t="s">
        <v>2720</v>
      </c>
      <c r="BH74" s="74" t="s">
        <v>3707</v>
      </c>
      <c r="BQ74" t="s">
        <v>1880</v>
      </c>
      <c r="BT74" s="81" t="s">
        <v>2594</v>
      </c>
    </row>
    <row r="75" spans="1:72" ht="15" thickBot="1" x14ac:dyDescent="0.4">
      <c r="A75" t="s">
        <v>2182</v>
      </c>
      <c r="C75" s="3" t="s">
        <v>1643</v>
      </c>
      <c r="D75" s="3" t="s">
        <v>1783</v>
      </c>
      <c r="I75" s="83" t="s">
        <v>2077</v>
      </c>
      <c r="Q75" t="s">
        <v>3102</v>
      </c>
      <c r="R75" t="s">
        <v>142</v>
      </c>
      <c r="AA75" s="12" t="s">
        <v>1141</v>
      </c>
      <c r="AB75" t="s">
        <v>745</v>
      </c>
      <c r="AE75" s="60" t="s">
        <v>2061</v>
      </c>
      <c r="AF75" s="61" t="s">
        <v>963</v>
      </c>
      <c r="AH75" t="s">
        <v>1687</v>
      </c>
      <c r="AJ75" t="s">
        <v>2523</v>
      </c>
      <c r="AM75" t="s">
        <v>2721</v>
      </c>
      <c r="BH75" s="74" t="s">
        <v>3708</v>
      </c>
      <c r="BQ75" t="s">
        <v>1881</v>
      </c>
      <c r="BT75" s="81" t="s">
        <v>2595</v>
      </c>
    </row>
    <row r="76" spans="1:72" ht="15" thickBot="1" x14ac:dyDescent="0.4">
      <c r="A76" t="s">
        <v>2183</v>
      </c>
      <c r="C76" t="s">
        <v>2324</v>
      </c>
      <c r="D76" t="s">
        <v>2092</v>
      </c>
      <c r="I76" s="83" t="s">
        <v>2076</v>
      </c>
      <c r="Q76" t="s">
        <v>3106</v>
      </c>
      <c r="R76" t="s">
        <v>143</v>
      </c>
      <c r="AA76" s="12" t="s">
        <v>1142</v>
      </c>
      <c r="AB76" t="s">
        <v>746</v>
      </c>
      <c r="AE76" s="60" t="s">
        <v>2062</v>
      </c>
      <c r="AF76" s="61" t="s">
        <v>964</v>
      </c>
      <c r="AH76" t="s">
        <v>1701</v>
      </c>
      <c r="AJ76" t="s">
        <v>2524</v>
      </c>
      <c r="AM76" t="s">
        <v>2022</v>
      </c>
      <c r="BH76" s="74" t="s">
        <v>3709</v>
      </c>
      <c r="BQ76" t="s">
        <v>1882</v>
      </c>
      <c r="BT76" s="81" t="s">
        <v>2013</v>
      </c>
    </row>
    <row r="77" spans="1:72" ht="15" thickBot="1" x14ac:dyDescent="0.4">
      <c r="A77" t="s">
        <v>2184</v>
      </c>
      <c r="C77" t="s">
        <v>2325</v>
      </c>
      <c r="D77" t="s">
        <v>2093</v>
      </c>
      <c r="I77" s="83" t="s">
        <v>2078</v>
      </c>
      <c r="Q77" t="s">
        <v>3257</v>
      </c>
      <c r="R77" t="s">
        <v>144</v>
      </c>
      <c r="AA77" s="12" t="s">
        <v>1143</v>
      </c>
      <c r="AB77" t="s">
        <v>747</v>
      </c>
      <c r="AE77" s="60" t="s">
        <v>2063</v>
      </c>
      <c r="AF77" s="61" t="s">
        <v>965</v>
      </c>
      <c r="AH77" t="s">
        <v>1715</v>
      </c>
      <c r="AJ77" t="s">
        <v>2525</v>
      </c>
      <c r="AM77" t="s">
        <v>2722</v>
      </c>
      <c r="BH77" s="74" t="s">
        <v>3710</v>
      </c>
      <c r="BQ77" t="s">
        <v>1883</v>
      </c>
      <c r="BT77" s="81" t="s">
        <v>2014</v>
      </c>
    </row>
    <row r="78" spans="1:72" ht="15" thickBot="1" x14ac:dyDescent="0.4">
      <c r="A78" t="s">
        <v>2185</v>
      </c>
      <c r="D78" t="s">
        <v>2094</v>
      </c>
      <c r="I78" s="83" t="s">
        <v>3021</v>
      </c>
      <c r="Q78" t="s">
        <v>3114</v>
      </c>
      <c r="R78" t="s">
        <v>145</v>
      </c>
      <c r="AA78" s="12" t="s">
        <v>1144</v>
      </c>
      <c r="AB78" t="s">
        <v>757</v>
      </c>
      <c r="AE78" s="60" t="s">
        <v>2064</v>
      </c>
      <c r="AF78" s="61" t="s">
        <v>966</v>
      </c>
      <c r="AJ78" t="s">
        <v>2526</v>
      </c>
      <c r="AM78" t="s">
        <v>2723</v>
      </c>
      <c r="BH78" s="74" t="s">
        <v>2449</v>
      </c>
      <c r="BQ78" t="s">
        <v>1884</v>
      </c>
      <c r="BT78" s="81" t="s">
        <v>2596</v>
      </c>
    </row>
    <row r="79" spans="1:72" ht="15" thickBot="1" x14ac:dyDescent="0.4">
      <c r="A79" t="s">
        <v>2186</v>
      </c>
      <c r="C79" s="3" t="s">
        <v>1784</v>
      </c>
      <c r="D79" t="s">
        <v>2095</v>
      </c>
      <c r="I79" s="83" t="s">
        <v>3022</v>
      </c>
      <c r="Q79" t="s">
        <v>3108</v>
      </c>
      <c r="R79" t="s">
        <v>314</v>
      </c>
      <c r="AA79" s="12" t="s">
        <v>1145</v>
      </c>
      <c r="AB79" t="s">
        <v>748</v>
      </c>
      <c r="AE79" s="60" t="s">
        <v>2065</v>
      </c>
      <c r="AF79" s="61" t="s">
        <v>967</v>
      </c>
      <c r="AH79" t="s">
        <v>1646</v>
      </c>
      <c r="AJ79" t="s">
        <v>2527</v>
      </c>
      <c r="AM79" t="s">
        <v>2724</v>
      </c>
      <c r="BH79" s="74" t="s">
        <v>2450</v>
      </c>
      <c r="BQ79" t="s">
        <v>1885</v>
      </c>
      <c r="BT79" s="81" t="s">
        <v>2016</v>
      </c>
    </row>
    <row r="80" spans="1:72" ht="15" thickBot="1" x14ac:dyDescent="0.4">
      <c r="A80" t="s">
        <v>2187</v>
      </c>
      <c r="C80" t="s">
        <v>2317</v>
      </c>
      <c r="D80" t="s">
        <v>2096</v>
      </c>
      <c r="I80" s="83" t="s">
        <v>2079</v>
      </c>
      <c r="Q80" t="s">
        <v>3103</v>
      </c>
      <c r="R80" t="s">
        <v>146</v>
      </c>
      <c r="AA80" s="12" t="s">
        <v>1146</v>
      </c>
      <c r="AB80" t="s">
        <v>749</v>
      </c>
      <c r="AE80" s="60" t="s">
        <v>2066</v>
      </c>
      <c r="AF80" s="61" t="s">
        <v>968</v>
      </c>
      <c r="AH80" t="s">
        <v>1660</v>
      </c>
      <c r="AJ80" t="s">
        <v>2528</v>
      </c>
      <c r="AM80" t="s">
        <v>2725</v>
      </c>
      <c r="BH80" s="74" t="s">
        <v>2451</v>
      </c>
      <c r="BQ80" t="s">
        <v>1886</v>
      </c>
      <c r="BT80" s="81" t="s">
        <v>2017</v>
      </c>
    </row>
    <row r="81" spans="1:72" ht="15" thickBot="1" x14ac:dyDescent="0.4">
      <c r="A81" t="s">
        <v>2188</v>
      </c>
      <c r="C81" t="s">
        <v>2318</v>
      </c>
      <c r="I81" s="83" t="s">
        <v>2080</v>
      </c>
      <c r="Q81" t="s">
        <v>3118</v>
      </c>
      <c r="R81" t="s">
        <v>147</v>
      </c>
      <c r="AA81" s="12" t="s">
        <v>1147</v>
      </c>
      <c r="AB81" t="s">
        <v>750</v>
      </c>
      <c r="AE81" s="60" t="s">
        <v>2067</v>
      </c>
      <c r="AF81" s="61" t="s">
        <v>969</v>
      </c>
      <c r="AH81" t="s">
        <v>1674</v>
      </c>
      <c r="AJ81" t="s">
        <v>2529</v>
      </c>
      <c r="AM81" t="s">
        <v>2726</v>
      </c>
      <c r="BH81" s="74" t="s">
        <v>2452</v>
      </c>
      <c r="BQ81" t="s">
        <v>1887</v>
      </c>
      <c r="BT81" s="81" t="s">
        <v>2018</v>
      </c>
    </row>
    <row r="82" spans="1:72" ht="15" thickBot="1" x14ac:dyDescent="0.4">
      <c r="A82" t="s">
        <v>2189</v>
      </c>
      <c r="C82" t="s">
        <v>2319</v>
      </c>
      <c r="I82" s="83" t="s">
        <v>3023</v>
      </c>
      <c r="Q82" t="s">
        <v>3110</v>
      </c>
      <c r="R82" t="s">
        <v>148</v>
      </c>
      <c r="AA82" s="12" t="s">
        <v>1148</v>
      </c>
      <c r="AB82" t="s">
        <v>751</v>
      </c>
      <c r="AE82" s="60" t="s">
        <v>2068</v>
      </c>
      <c r="AF82" s="62" t="s">
        <v>970</v>
      </c>
      <c r="AH82" t="s">
        <v>1688</v>
      </c>
      <c r="AJ82" t="s">
        <v>2530</v>
      </c>
      <c r="AM82" t="s">
        <v>2015</v>
      </c>
      <c r="BH82" s="74" t="s">
        <v>2453</v>
      </c>
      <c r="BQ82" t="s">
        <v>1888</v>
      </c>
      <c r="BT82" s="81" t="s">
        <v>2010</v>
      </c>
    </row>
    <row r="83" spans="1:72" x14ac:dyDescent="0.35">
      <c r="A83" t="s">
        <v>2190</v>
      </c>
      <c r="C83" t="s">
        <v>2320</v>
      </c>
      <c r="I83" s="83" t="s">
        <v>3024</v>
      </c>
      <c r="Q83" t="s">
        <v>3111</v>
      </c>
      <c r="R83" t="s">
        <v>149</v>
      </c>
      <c r="AA83" s="12" t="s">
        <v>1149</v>
      </c>
      <c r="AB83" t="s">
        <v>752</v>
      </c>
      <c r="AH83" t="s">
        <v>1702</v>
      </c>
      <c r="AJ83" s="82" t="s">
        <v>2966</v>
      </c>
      <c r="AM83" t="s">
        <v>2727</v>
      </c>
      <c r="BH83" s="74" t="s">
        <v>2454</v>
      </c>
      <c r="BQ83" t="s">
        <v>1889</v>
      </c>
      <c r="BT83" s="81" t="s">
        <v>2023</v>
      </c>
    </row>
    <row r="84" spans="1:72" x14ac:dyDescent="0.35">
      <c r="A84" t="s">
        <v>2191</v>
      </c>
      <c r="I84" s="83" t="s">
        <v>2081</v>
      </c>
      <c r="Q84" t="s">
        <v>3113</v>
      </c>
      <c r="R84" t="s">
        <v>150</v>
      </c>
      <c r="AA84" s="12" t="s">
        <v>1150</v>
      </c>
      <c r="AB84" t="s">
        <v>753</v>
      </c>
      <c r="AH84" t="s">
        <v>1716</v>
      </c>
      <c r="AJ84" s="82" t="s">
        <v>2967</v>
      </c>
      <c r="AM84" t="s">
        <v>2728</v>
      </c>
      <c r="BH84" s="74" t="s">
        <v>2455</v>
      </c>
      <c r="BQ84" t="s">
        <v>1890</v>
      </c>
      <c r="BT84" s="81" t="s">
        <v>2597</v>
      </c>
    </row>
    <row r="85" spans="1:72" x14ac:dyDescent="0.35">
      <c r="A85" t="s">
        <v>2192</v>
      </c>
      <c r="I85" s="83" t="s">
        <v>2083</v>
      </c>
      <c r="Q85" t="s">
        <v>3107</v>
      </c>
      <c r="R85" t="s">
        <v>151</v>
      </c>
      <c r="AA85" s="12" t="s">
        <v>1151</v>
      </c>
      <c r="AB85" t="s">
        <v>754</v>
      </c>
      <c r="AJ85" s="82" t="s">
        <v>2968</v>
      </c>
      <c r="AM85" t="s">
        <v>2729</v>
      </c>
      <c r="BH85" s="74" t="s">
        <v>2456</v>
      </c>
      <c r="BQ85" t="s">
        <v>1891</v>
      </c>
      <c r="BT85" s="81" t="s">
        <v>2598</v>
      </c>
    </row>
    <row r="86" spans="1:72" x14ac:dyDescent="0.35">
      <c r="A86" t="s">
        <v>2193</v>
      </c>
      <c r="C86" t="s">
        <v>892</v>
      </c>
      <c r="I86" s="83" t="s">
        <v>2082</v>
      </c>
      <c r="Q86" t="s">
        <v>3119</v>
      </c>
      <c r="R86" t="s">
        <v>152</v>
      </c>
      <c r="AA86" s="12" t="s">
        <v>1152</v>
      </c>
      <c r="AB86" t="s">
        <v>755</v>
      </c>
      <c r="AH86" t="s">
        <v>1647</v>
      </c>
      <c r="AM86" t="s">
        <v>2730</v>
      </c>
      <c r="BH86" s="74" t="s">
        <v>2457</v>
      </c>
      <c r="BQ86" t="s">
        <v>1892</v>
      </c>
      <c r="BT86" s="81" t="s">
        <v>2024</v>
      </c>
    </row>
    <row r="87" spans="1:72" x14ac:dyDescent="0.35">
      <c r="A87" t="s">
        <v>2194</v>
      </c>
      <c r="C87" t="s">
        <v>2050</v>
      </c>
      <c r="I87" s="83" t="s">
        <v>2084</v>
      </c>
      <c r="Q87" t="s">
        <v>3115</v>
      </c>
      <c r="R87" t="s">
        <v>153</v>
      </c>
      <c r="AA87" s="12" t="s">
        <v>1153</v>
      </c>
      <c r="AB87" t="s">
        <v>756</v>
      </c>
      <c r="AH87" t="s">
        <v>1661</v>
      </c>
      <c r="AM87" t="s">
        <v>2731</v>
      </c>
      <c r="BH87" s="74" t="s">
        <v>2458</v>
      </c>
      <c r="BQ87" t="s">
        <v>1893</v>
      </c>
      <c r="BT87" s="81" t="s">
        <v>2599</v>
      </c>
    </row>
    <row r="88" spans="1:72" x14ac:dyDescent="0.35">
      <c r="A88" t="s">
        <v>2195</v>
      </c>
      <c r="C88" t="s">
        <v>2051</v>
      </c>
      <c r="I88" s="83" t="s">
        <v>3025</v>
      </c>
      <c r="Q88" t="s">
        <v>3094</v>
      </c>
      <c r="R88" t="s">
        <v>154</v>
      </c>
      <c r="AA88" t="s">
        <v>1154</v>
      </c>
      <c r="AB88" t="s">
        <v>758</v>
      </c>
      <c r="AH88" t="s">
        <v>1675</v>
      </c>
      <c r="AM88" t="s">
        <v>2732</v>
      </c>
      <c r="BH88" s="74" t="s">
        <v>2459</v>
      </c>
      <c r="BQ88" t="s">
        <v>1894</v>
      </c>
      <c r="BT88" s="81" t="s">
        <v>2600</v>
      </c>
    </row>
    <row r="89" spans="1:72" x14ac:dyDescent="0.35">
      <c r="A89" t="s">
        <v>2196</v>
      </c>
      <c r="C89" t="s">
        <v>2052</v>
      </c>
      <c r="I89" s="83" t="s">
        <v>3026</v>
      </c>
      <c r="Q89" t="s">
        <v>3112</v>
      </c>
      <c r="R89" t="s">
        <v>155</v>
      </c>
      <c r="AA89" t="s">
        <v>1155</v>
      </c>
      <c r="AB89" t="s">
        <v>759</v>
      </c>
      <c r="AH89" t="s">
        <v>1689</v>
      </c>
      <c r="AM89" t="s">
        <v>2733</v>
      </c>
      <c r="BH89" s="74" t="s">
        <v>2460</v>
      </c>
      <c r="BQ89" t="s">
        <v>1895</v>
      </c>
      <c r="BT89" s="81" t="s">
        <v>2601</v>
      </c>
    </row>
    <row r="90" spans="1:72" x14ac:dyDescent="0.35">
      <c r="A90" t="s">
        <v>2197</v>
      </c>
      <c r="C90" t="s">
        <v>2053</v>
      </c>
      <c r="I90" s="83" t="s">
        <v>2085</v>
      </c>
      <c r="Q90" t="s">
        <v>3231</v>
      </c>
      <c r="R90" t="s">
        <v>156</v>
      </c>
      <c r="AA90" t="s">
        <v>1156</v>
      </c>
      <c r="AB90" t="s">
        <v>760</v>
      </c>
      <c r="AH90" t="s">
        <v>1703</v>
      </c>
      <c r="AM90" t="s">
        <v>2734</v>
      </c>
      <c r="BH90" s="74" t="s">
        <v>2461</v>
      </c>
      <c r="BQ90" t="s">
        <v>1896</v>
      </c>
      <c r="BT90" s="81" t="s">
        <v>2602</v>
      </c>
    </row>
    <row r="91" spans="1:72" x14ac:dyDescent="0.35">
      <c r="A91" t="s">
        <v>2198</v>
      </c>
      <c r="C91" t="s">
        <v>2054</v>
      </c>
      <c r="I91" s="83" t="s">
        <v>2086</v>
      </c>
      <c r="Q91" t="s">
        <v>3117</v>
      </c>
      <c r="R91" t="s">
        <v>157</v>
      </c>
      <c r="AA91" t="s">
        <v>1157</v>
      </c>
      <c r="AB91" t="s">
        <v>761</v>
      </c>
      <c r="AH91" t="s">
        <v>1717</v>
      </c>
      <c r="AM91" t="s">
        <v>2735</v>
      </c>
      <c r="BH91" s="74" t="s">
        <v>2462</v>
      </c>
      <c r="BQ91" t="s">
        <v>1897</v>
      </c>
      <c r="BT91" s="81" t="s">
        <v>2603</v>
      </c>
    </row>
    <row r="92" spans="1:72" x14ac:dyDescent="0.35">
      <c r="A92" t="s">
        <v>2199</v>
      </c>
      <c r="C92" t="s">
        <v>2055</v>
      </c>
      <c r="I92" s="83" t="s">
        <v>3027</v>
      </c>
      <c r="Q92" t="s">
        <v>3116</v>
      </c>
      <c r="R92" t="s">
        <v>158</v>
      </c>
      <c r="AA92" t="s">
        <v>1158</v>
      </c>
      <c r="AB92" t="s">
        <v>762</v>
      </c>
      <c r="AM92" t="s">
        <v>2736</v>
      </c>
      <c r="BH92" s="74" t="s">
        <v>2463</v>
      </c>
      <c r="BQ92" t="s">
        <v>1898</v>
      </c>
      <c r="BT92" s="81" t="s">
        <v>2604</v>
      </c>
    </row>
    <row r="93" spans="1:72" x14ac:dyDescent="0.35">
      <c r="A93" t="s">
        <v>2200</v>
      </c>
      <c r="C93" t="s">
        <v>2056</v>
      </c>
      <c r="I93" s="83" t="s">
        <v>3028</v>
      </c>
      <c r="Q93" t="s">
        <v>3120</v>
      </c>
      <c r="R93" t="s">
        <v>159</v>
      </c>
      <c r="AA93" t="s">
        <v>1159</v>
      </c>
      <c r="AB93" t="s">
        <v>763</v>
      </c>
      <c r="AH93" t="s">
        <v>1648</v>
      </c>
      <c r="AM93" t="s">
        <v>2737</v>
      </c>
      <c r="BH93" s="74" t="s">
        <v>2464</v>
      </c>
      <c r="BQ93" t="s">
        <v>1899</v>
      </c>
      <c r="BT93" s="81" t="s">
        <v>2605</v>
      </c>
    </row>
    <row r="94" spans="1:72" x14ac:dyDescent="0.35">
      <c r="A94" t="s">
        <v>2201</v>
      </c>
      <c r="C94" t="s">
        <v>2057</v>
      </c>
      <c r="I94" s="83" t="s">
        <v>2069</v>
      </c>
      <c r="Q94" t="s">
        <v>3121</v>
      </c>
      <c r="R94" t="s">
        <v>160</v>
      </c>
      <c r="AA94" t="s">
        <v>1160</v>
      </c>
      <c r="AB94" t="s">
        <v>764</v>
      </c>
      <c r="AH94" t="s">
        <v>1662</v>
      </c>
      <c r="AM94" t="s">
        <v>2738</v>
      </c>
      <c r="BH94" s="74" t="s">
        <v>2465</v>
      </c>
      <c r="BQ94" t="s">
        <v>1900</v>
      </c>
      <c r="BT94" s="81" t="s">
        <v>2606</v>
      </c>
    </row>
    <row r="95" spans="1:72" x14ac:dyDescent="0.35">
      <c r="A95" t="s">
        <v>2202</v>
      </c>
      <c r="C95" t="s">
        <v>2058</v>
      </c>
      <c r="I95" s="83" t="s">
        <v>2071</v>
      </c>
      <c r="Q95" t="s">
        <v>3126</v>
      </c>
      <c r="R95" t="s">
        <v>161</v>
      </c>
      <c r="AA95" t="s">
        <v>1161</v>
      </c>
      <c r="AB95" t="s">
        <v>765</v>
      </c>
      <c r="AH95" t="s">
        <v>1676</v>
      </c>
      <c r="AM95" t="s">
        <v>2739</v>
      </c>
      <c r="BH95" s="74" t="s">
        <v>2466</v>
      </c>
      <c r="BQ95" t="s">
        <v>1901</v>
      </c>
      <c r="BT95" s="81" t="s">
        <v>2607</v>
      </c>
    </row>
    <row r="96" spans="1:72" x14ac:dyDescent="0.35">
      <c r="A96" t="s">
        <v>2203</v>
      </c>
      <c r="C96" t="s">
        <v>2059</v>
      </c>
      <c r="I96" s="83" t="s">
        <v>2070</v>
      </c>
      <c r="Q96" t="s">
        <v>3123</v>
      </c>
      <c r="R96" t="s">
        <v>162</v>
      </c>
      <c r="AA96" t="s">
        <v>1162</v>
      </c>
      <c r="AB96" t="s">
        <v>766</v>
      </c>
      <c r="AH96" t="s">
        <v>1690</v>
      </c>
      <c r="AM96" t="s">
        <v>2740</v>
      </c>
      <c r="BH96" s="74" t="s">
        <v>2467</v>
      </c>
      <c r="BQ96" t="s">
        <v>1902</v>
      </c>
      <c r="BT96" s="81" t="s">
        <v>2608</v>
      </c>
    </row>
    <row r="97" spans="1:72" x14ac:dyDescent="0.35">
      <c r="A97" t="s">
        <v>2204</v>
      </c>
      <c r="C97" t="s">
        <v>2060</v>
      </c>
      <c r="I97" s="83" t="s">
        <v>2072</v>
      </c>
      <c r="Q97" t="s">
        <v>3125</v>
      </c>
      <c r="R97" t="s">
        <v>163</v>
      </c>
      <c r="AA97" t="s">
        <v>1163</v>
      </c>
      <c r="AB97" t="s">
        <v>767</v>
      </c>
      <c r="AH97" t="s">
        <v>1704</v>
      </c>
      <c r="AM97" t="s">
        <v>2741</v>
      </c>
      <c r="BH97" s="74" t="s">
        <v>2468</v>
      </c>
      <c r="BQ97" t="s">
        <v>1903</v>
      </c>
      <c r="BT97" s="81" t="s">
        <v>2609</v>
      </c>
    </row>
    <row r="98" spans="1:72" x14ac:dyDescent="0.35">
      <c r="A98" t="s">
        <v>2205</v>
      </c>
      <c r="C98" t="s">
        <v>2061</v>
      </c>
      <c r="I98" s="83" t="s">
        <v>3029</v>
      </c>
      <c r="Q98" t="s">
        <v>3084</v>
      </c>
      <c r="R98" t="s">
        <v>164</v>
      </c>
      <c r="AA98" t="s">
        <v>1164</v>
      </c>
      <c r="AB98" t="s">
        <v>768</v>
      </c>
      <c r="AH98" t="s">
        <v>1718</v>
      </c>
      <c r="AM98" t="s">
        <v>2742</v>
      </c>
      <c r="BH98" s="74" t="s">
        <v>2469</v>
      </c>
      <c r="BQ98" t="s">
        <v>1904</v>
      </c>
      <c r="BT98" s="81" t="s">
        <v>2610</v>
      </c>
    </row>
    <row r="99" spans="1:72" x14ac:dyDescent="0.35">
      <c r="A99" t="s">
        <v>2206</v>
      </c>
      <c r="C99" t="s">
        <v>2062</v>
      </c>
      <c r="I99" s="83" t="s">
        <v>3030</v>
      </c>
      <c r="Q99" t="s">
        <v>3122</v>
      </c>
      <c r="R99" t="s">
        <v>165</v>
      </c>
      <c r="AA99" t="s">
        <v>1165</v>
      </c>
      <c r="AB99" t="s">
        <v>769</v>
      </c>
      <c r="AM99" t="s">
        <v>2743</v>
      </c>
      <c r="BH99" s="74" t="s">
        <v>2470</v>
      </c>
      <c r="BQ99" t="s">
        <v>1905</v>
      </c>
      <c r="BT99" s="81" t="s">
        <v>2611</v>
      </c>
    </row>
    <row r="100" spans="1:72" x14ac:dyDescent="0.35">
      <c r="A100" t="s">
        <v>2207</v>
      </c>
      <c r="C100" t="s">
        <v>2063</v>
      </c>
      <c r="I100" s="83" t="s">
        <v>2073</v>
      </c>
      <c r="Q100" t="s">
        <v>3127</v>
      </c>
      <c r="R100" t="s">
        <v>166</v>
      </c>
      <c r="AA100" t="s">
        <v>1166</v>
      </c>
      <c r="AB100" t="s">
        <v>770</v>
      </c>
      <c r="AH100" t="s">
        <v>1649</v>
      </c>
      <c r="AM100" t="s">
        <v>2744</v>
      </c>
      <c r="BH100" s="74" t="s">
        <v>2471</v>
      </c>
      <c r="BQ100" t="s">
        <v>1906</v>
      </c>
      <c r="BT100" s="81" t="s">
        <v>2612</v>
      </c>
    </row>
    <row r="101" spans="1:72" x14ac:dyDescent="0.35">
      <c r="A101" t="s">
        <v>2208</v>
      </c>
      <c r="C101" t="s">
        <v>2064</v>
      </c>
      <c r="I101" s="83" t="s">
        <v>2074</v>
      </c>
      <c r="Q101" t="s">
        <v>3130</v>
      </c>
      <c r="R101" t="s">
        <v>167</v>
      </c>
      <c r="AA101" t="s">
        <v>1167</v>
      </c>
      <c r="AB101" t="s">
        <v>771</v>
      </c>
      <c r="AH101" t="s">
        <v>1663</v>
      </c>
      <c r="AM101" t="s">
        <v>2745</v>
      </c>
      <c r="BH101" s="74" t="s">
        <v>2472</v>
      </c>
      <c r="BQ101" t="s">
        <v>1907</v>
      </c>
      <c r="BT101" s="81" t="s">
        <v>2613</v>
      </c>
    </row>
    <row r="102" spans="1:72" x14ac:dyDescent="0.35">
      <c r="A102" t="s">
        <v>2209</v>
      </c>
      <c r="C102" t="s">
        <v>2065</v>
      </c>
      <c r="I102" s="83" t="s">
        <v>3031</v>
      </c>
      <c r="Q102" t="s">
        <v>3133</v>
      </c>
      <c r="R102" t="s">
        <v>315</v>
      </c>
      <c r="AA102" t="s">
        <v>1168</v>
      </c>
      <c r="AB102" t="s">
        <v>772</v>
      </c>
      <c r="AH102" t="s">
        <v>1677</v>
      </c>
      <c r="AM102" t="s">
        <v>2746</v>
      </c>
      <c r="BH102" s="74" t="s">
        <v>2473</v>
      </c>
      <c r="BQ102" t="s">
        <v>1908</v>
      </c>
      <c r="BT102" s="81" t="s">
        <v>2614</v>
      </c>
    </row>
    <row r="103" spans="1:72" x14ac:dyDescent="0.35">
      <c r="A103" t="s">
        <v>2210</v>
      </c>
      <c r="C103" t="s">
        <v>2066</v>
      </c>
      <c r="G103" s="83" t="s">
        <v>3021</v>
      </c>
      <c r="I103" s="83" t="s">
        <v>3032</v>
      </c>
      <c r="Q103" t="s">
        <v>3135</v>
      </c>
      <c r="R103" t="s">
        <v>168</v>
      </c>
      <c r="AA103" t="s">
        <v>1169</v>
      </c>
      <c r="AB103" t="s">
        <v>773</v>
      </c>
      <c r="AH103" t="s">
        <v>1691</v>
      </c>
      <c r="AM103" t="s">
        <v>2747</v>
      </c>
      <c r="BH103" s="74" t="s">
        <v>2474</v>
      </c>
      <c r="BQ103" t="s">
        <v>1909</v>
      </c>
      <c r="BT103" s="81" t="s">
        <v>2025</v>
      </c>
    </row>
    <row r="104" spans="1:72" x14ac:dyDescent="0.35">
      <c r="A104" t="s">
        <v>2211</v>
      </c>
      <c r="C104" t="s">
        <v>2067</v>
      </c>
      <c r="G104" s="83" t="s">
        <v>3022</v>
      </c>
      <c r="Q104" t="s">
        <v>3134</v>
      </c>
      <c r="R104" t="s">
        <v>169</v>
      </c>
      <c r="AA104" t="s">
        <v>1170</v>
      </c>
      <c r="AB104" t="s">
        <v>774</v>
      </c>
      <c r="AH104" t="s">
        <v>1705</v>
      </c>
      <c r="AM104" t="s">
        <v>2748</v>
      </c>
      <c r="BH104" s="74" t="s">
        <v>2475</v>
      </c>
      <c r="BQ104" t="s">
        <v>1910</v>
      </c>
      <c r="BT104" s="81" t="s">
        <v>2026</v>
      </c>
    </row>
    <row r="105" spans="1:72" x14ac:dyDescent="0.35">
      <c r="A105" t="s">
        <v>2212</v>
      </c>
      <c r="C105" t="s">
        <v>2068</v>
      </c>
      <c r="G105" s="83" t="s">
        <v>3023</v>
      </c>
      <c r="Q105" t="s">
        <v>3129</v>
      </c>
      <c r="R105" t="s">
        <v>170</v>
      </c>
      <c r="AA105" t="s">
        <v>1171</v>
      </c>
      <c r="AB105" t="s">
        <v>775</v>
      </c>
      <c r="AH105" t="s">
        <v>1719</v>
      </c>
      <c r="AM105" t="s">
        <v>2749</v>
      </c>
      <c r="BH105" s="74" t="s">
        <v>2476</v>
      </c>
      <c r="BQ105" t="s">
        <v>1911</v>
      </c>
      <c r="BT105" s="81" t="s">
        <v>2615</v>
      </c>
    </row>
    <row r="106" spans="1:72" x14ac:dyDescent="0.35">
      <c r="A106" t="s">
        <v>2213</v>
      </c>
      <c r="G106" s="83" t="s">
        <v>3024</v>
      </c>
      <c r="Q106" t="s">
        <v>3068</v>
      </c>
      <c r="R106" t="s">
        <v>171</v>
      </c>
      <c r="AA106" t="s">
        <v>1172</v>
      </c>
      <c r="AB106" t="s">
        <v>776</v>
      </c>
      <c r="AM106" t="s">
        <v>2750</v>
      </c>
      <c r="BH106" s="74" t="s">
        <v>2477</v>
      </c>
      <c r="BQ106" t="s">
        <v>1912</v>
      </c>
      <c r="BT106" s="81" t="s">
        <v>2027</v>
      </c>
    </row>
    <row r="107" spans="1:72" x14ac:dyDescent="0.35">
      <c r="A107" t="s">
        <v>2214</v>
      </c>
      <c r="G107" s="83" t="s">
        <v>3025</v>
      </c>
      <c r="Q107" t="s">
        <v>3132</v>
      </c>
      <c r="R107" t="s">
        <v>172</v>
      </c>
      <c r="AA107" t="s">
        <v>1173</v>
      </c>
      <c r="AB107" t="s">
        <v>777</v>
      </c>
      <c r="AH107" t="s">
        <v>1650</v>
      </c>
      <c r="AM107" t="s">
        <v>2751</v>
      </c>
      <c r="BH107" s="74" t="s">
        <v>2478</v>
      </c>
      <c r="BQ107" t="s">
        <v>1913</v>
      </c>
      <c r="BT107" s="81" t="s">
        <v>2030</v>
      </c>
    </row>
    <row r="108" spans="1:72" x14ac:dyDescent="0.35">
      <c r="A108" t="s">
        <v>2215</v>
      </c>
      <c r="G108" s="83" t="s">
        <v>3026</v>
      </c>
      <c r="Q108" t="s">
        <v>3131</v>
      </c>
      <c r="R108" t="s">
        <v>173</v>
      </c>
      <c r="AA108" t="s">
        <v>1174</v>
      </c>
      <c r="AB108" t="s">
        <v>778</v>
      </c>
      <c r="AH108" t="s">
        <v>1664</v>
      </c>
      <c r="AM108" t="s">
        <v>2752</v>
      </c>
      <c r="BH108" s="74" t="s">
        <v>2479</v>
      </c>
      <c r="BQ108" t="s">
        <v>1914</v>
      </c>
      <c r="BT108" s="81" t="s">
        <v>2031</v>
      </c>
    </row>
    <row r="109" spans="1:72" x14ac:dyDescent="0.35">
      <c r="A109" t="s">
        <v>2216</v>
      </c>
      <c r="G109" s="83" t="s">
        <v>3027</v>
      </c>
      <c r="Q109" t="s">
        <v>3128</v>
      </c>
      <c r="R109" t="s">
        <v>316</v>
      </c>
      <c r="AA109" t="s">
        <v>1175</v>
      </c>
      <c r="AB109" t="s">
        <v>779</v>
      </c>
      <c r="AH109" t="s">
        <v>1678</v>
      </c>
      <c r="AM109" t="s">
        <v>2753</v>
      </c>
      <c r="BH109" s="74" t="s">
        <v>2480</v>
      </c>
      <c r="BQ109" t="s">
        <v>1915</v>
      </c>
      <c r="BT109" s="81" t="s">
        <v>2028</v>
      </c>
    </row>
    <row r="110" spans="1:72" x14ac:dyDescent="0.35">
      <c r="A110" t="s">
        <v>2217</v>
      </c>
      <c r="G110" s="83" t="s">
        <v>3028</v>
      </c>
      <c r="Q110" t="s">
        <v>3136</v>
      </c>
      <c r="R110" t="s">
        <v>174</v>
      </c>
      <c r="AA110" t="s">
        <v>1176</v>
      </c>
      <c r="AB110" t="s">
        <v>780</v>
      </c>
      <c r="AH110" t="s">
        <v>1692</v>
      </c>
      <c r="AM110" t="s">
        <v>2754</v>
      </c>
      <c r="BH110" s="74" t="s">
        <v>2481</v>
      </c>
      <c r="BQ110" t="s">
        <v>1916</v>
      </c>
      <c r="BT110" s="81" t="s">
        <v>2029</v>
      </c>
    </row>
    <row r="111" spans="1:72" x14ac:dyDescent="0.35">
      <c r="A111" t="s">
        <v>2218</v>
      </c>
      <c r="G111" s="83" t="s">
        <v>3029</v>
      </c>
      <c r="Q111" t="s">
        <v>3139</v>
      </c>
      <c r="R111" t="s">
        <v>175</v>
      </c>
      <c r="AA111" t="s">
        <v>1177</v>
      </c>
      <c r="AB111" t="s">
        <v>781</v>
      </c>
      <c r="AH111" t="s">
        <v>1706</v>
      </c>
      <c r="AM111" t="s">
        <v>2755</v>
      </c>
      <c r="BH111" s="74" t="s">
        <v>2482</v>
      </c>
      <c r="BQ111" t="s">
        <v>1917</v>
      </c>
      <c r="BT111" s="81" t="s">
        <v>2616</v>
      </c>
    </row>
    <row r="112" spans="1:72" x14ac:dyDescent="0.35">
      <c r="A112" t="s">
        <v>2219</v>
      </c>
      <c r="G112" s="83" t="s">
        <v>3030</v>
      </c>
      <c r="Q112" t="s">
        <v>3137</v>
      </c>
      <c r="R112" t="s">
        <v>176</v>
      </c>
      <c r="AA112" t="s">
        <v>1178</v>
      </c>
      <c r="AB112" t="s">
        <v>782</v>
      </c>
      <c r="AH112" t="s">
        <v>1720</v>
      </c>
      <c r="AM112" t="s">
        <v>2756</v>
      </c>
      <c r="BH112" s="74" t="s">
        <v>2483</v>
      </c>
      <c r="BQ112" t="s">
        <v>1918</v>
      </c>
      <c r="BT112" s="81" t="s">
        <v>2617</v>
      </c>
    </row>
    <row r="113" spans="1:72" x14ac:dyDescent="0.35">
      <c r="A113" t="s">
        <v>2220</v>
      </c>
      <c r="G113" s="83" t="s">
        <v>3031</v>
      </c>
      <c r="Q113" t="s">
        <v>3140</v>
      </c>
      <c r="R113" t="s">
        <v>177</v>
      </c>
      <c r="AA113" t="s">
        <v>1179</v>
      </c>
      <c r="AB113" t="s">
        <v>783</v>
      </c>
      <c r="AM113" t="s">
        <v>2757</v>
      </c>
      <c r="BH113" s="74" t="s">
        <v>2484</v>
      </c>
      <c r="BQ113" t="s">
        <v>1919</v>
      </c>
      <c r="BT113" s="81" t="s">
        <v>2618</v>
      </c>
    </row>
    <row r="114" spans="1:72" x14ac:dyDescent="0.35">
      <c r="A114" t="s">
        <v>2221</v>
      </c>
      <c r="G114" s="83" t="s">
        <v>3032</v>
      </c>
      <c r="Q114" t="s">
        <v>3138</v>
      </c>
      <c r="R114" t="s">
        <v>178</v>
      </c>
      <c r="AA114" t="s">
        <v>1180</v>
      </c>
      <c r="AB114" t="s">
        <v>784</v>
      </c>
      <c r="AH114" t="s">
        <v>1651</v>
      </c>
      <c r="AM114" t="s">
        <v>2758</v>
      </c>
      <c r="BH114" s="74" t="s">
        <v>2485</v>
      </c>
      <c r="BQ114" t="s">
        <v>1920</v>
      </c>
      <c r="BT114" s="81" t="s">
        <v>2619</v>
      </c>
    </row>
    <row r="115" spans="1:72" x14ac:dyDescent="0.35">
      <c r="A115" t="s">
        <v>2222</v>
      </c>
      <c r="Q115" t="s">
        <v>3142</v>
      </c>
      <c r="R115" t="s">
        <v>179</v>
      </c>
      <c r="AA115" t="s">
        <v>1181</v>
      </c>
      <c r="AB115" t="s">
        <v>785</v>
      </c>
      <c r="AH115" t="s">
        <v>1665</v>
      </c>
      <c r="AM115" t="s">
        <v>2759</v>
      </c>
      <c r="BH115" s="74" t="s">
        <v>2486</v>
      </c>
      <c r="BQ115" t="s">
        <v>1921</v>
      </c>
      <c r="BT115" s="81" t="s">
        <v>2620</v>
      </c>
    </row>
    <row r="116" spans="1:72" x14ac:dyDescent="0.35">
      <c r="A116" t="s">
        <v>2223</v>
      </c>
      <c r="Q116" t="s">
        <v>3147</v>
      </c>
      <c r="R116" t="s">
        <v>180</v>
      </c>
      <c r="AA116" t="s">
        <v>1182</v>
      </c>
      <c r="AB116" t="s">
        <v>786</v>
      </c>
      <c r="AH116" t="s">
        <v>1679</v>
      </c>
      <c r="AM116" t="s">
        <v>2760</v>
      </c>
      <c r="BH116" s="84" t="s">
        <v>3002</v>
      </c>
      <c r="BQ116" t="s">
        <v>1922</v>
      </c>
      <c r="BT116" s="81" t="s">
        <v>2621</v>
      </c>
    </row>
    <row r="117" spans="1:72" x14ac:dyDescent="0.35">
      <c r="A117" t="s">
        <v>2224</v>
      </c>
      <c r="Q117" t="s">
        <v>3073</v>
      </c>
      <c r="R117" t="s">
        <v>181</v>
      </c>
      <c r="AA117" t="s">
        <v>1183</v>
      </c>
      <c r="AB117" t="s">
        <v>796</v>
      </c>
      <c r="AH117" t="s">
        <v>1693</v>
      </c>
      <c r="AM117" t="s">
        <v>2761</v>
      </c>
      <c r="BH117" s="84" t="s">
        <v>3003</v>
      </c>
      <c r="BQ117" t="s">
        <v>1923</v>
      </c>
      <c r="BT117" s="81" t="s">
        <v>2622</v>
      </c>
    </row>
    <row r="118" spans="1:72" x14ac:dyDescent="0.35">
      <c r="A118" t="s">
        <v>2225</v>
      </c>
      <c r="Q118" t="s">
        <v>3143</v>
      </c>
      <c r="R118" t="s">
        <v>182</v>
      </c>
      <c r="AA118" t="s">
        <v>1184</v>
      </c>
      <c r="AB118" t="s">
        <v>797</v>
      </c>
      <c r="AH118" t="s">
        <v>1707</v>
      </c>
      <c r="AM118" t="s">
        <v>2762</v>
      </c>
      <c r="BH118" s="84" t="s">
        <v>3004</v>
      </c>
      <c r="BQ118" t="s">
        <v>1924</v>
      </c>
      <c r="BT118" s="81" t="s">
        <v>2623</v>
      </c>
    </row>
    <row r="119" spans="1:72" x14ac:dyDescent="0.35">
      <c r="A119" t="s">
        <v>2226</v>
      </c>
      <c r="Q119" t="s">
        <v>3079</v>
      </c>
      <c r="R119" t="s">
        <v>183</v>
      </c>
      <c r="AA119" t="s">
        <v>1185</v>
      </c>
      <c r="AB119" t="s">
        <v>787</v>
      </c>
      <c r="AH119" t="s">
        <v>1721</v>
      </c>
      <c r="AM119" t="s">
        <v>2107</v>
      </c>
      <c r="BH119" s="84" t="s">
        <v>3005</v>
      </c>
      <c r="BQ119" t="s">
        <v>1925</v>
      </c>
      <c r="BT119" s="81" t="s">
        <v>2624</v>
      </c>
    </row>
    <row r="120" spans="1:72" x14ac:dyDescent="0.35">
      <c r="A120" t="s">
        <v>2227</v>
      </c>
      <c r="Q120" t="s">
        <v>3213</v>
      </c>
      <c r="R120" t="s">
        <v>184</v>
      </c>
      <c r="AA120" t="s">
        <v>1186</v>
      </c>
      <c r="AB120" t="s">
        <v>788</v>
      </c>
      <c r="AM120" t="s">
        <v>2763</v>
      </c>
      <c r="BH120" s="84" t="s">
        <v>3006</v>
      </c>
      <c r="BQ120" t="s">
        <v>1926</v>
      </c>
      <c r="BT120" s="81" t="s">
        <v>2625</v>
      </c>
    </row>
    <row r="121" spans="1:72" x14ac:dyDescent="0.35">
      <c r="A121" t="s">
        <v>2228</v>
      </c>
      <c r="Q121" t="s">
        <v>3144</v>
      </c>
      <c r="R121" t="s">
        <v>185</v>
      </c>
      <c r="AA121" t="s">
        <v>1187</v>
      </c>
      <c r="AB121" t="s">
        <v>789</v>
      </c>
      <c r="AH121" t="s">
        <v>1652</v>
      </c>
      <c r="AM121" t="s">
        <v>2764</v>
      </c>
      <c r="BH121" s="84" t="s">
        <v>3007</v>
      </c>
      <c r="BQ121" t="s">
        <v>1927</v>
      </c>
      <c r="BT121" s="81" t="s">
        <v>2626</v>
      </c>
    </row>
    <row r="122" spans="1:72" x14ac:dyDescent="0.35">
      <c r="A122" t="s">
        <v>2229</v>
      </c>
      <c r="Q122" t="s">
        <v>3145</v>
      </c>
      <c r="R122" t="s">
        <v>186</v>
      </c>
      <c r="AA122" t="s">
        <v>1188</v>
      </c>
      <c r="AB122" t="s">
        <v>790</v>
      </c>
      <c r="AH122" t="s">
        <v>1666</v>
      </c>
      <c r="AM122" t="s">
        <v>2765</v>
      </c>
      <c r="BH122" s="84" t="s">
        <v>3008</v>
      </c>
      <c r="BQ122" t="s">
        <v>1928</v>
      </c>
      <c r="BT122" s="81" t="s">
        <v>2627</v>
      </c>
    </row>
    <row r="123" spans="1:72" x14ac:dyDescent="0.35">
      <c r="A123" t="s">
        <v>2230</v>
      </c>
      <c r="Q123" t="s">
        <v>3146</v>
      </c>
      <c r="R123" t="s">
        <v>187</v>
      </c>
      <c r="AA123" t="s">
        <v>1189</v>
      </c>
      <c r="AB123" t="s">
        <v>791</v>
      </c>
      <c r="AH123" t="s">
        <v>1680</v>
      </c>
      <c r="AM123" t="s">
        <v>2766</v>
      </c>
      <c r="BH123" s="84" t="s">
        <v>3009</v>
      </c>
      <c r="BQ123" t="s">
        <v>1929</v>
      </c>
      <c r="BT123" s="81" t="s">
        <v>2628</v>
      </c>
    </row>
    <row r="124" spans="1:72" x14ac:dyDescent="0.35">
      <c r="A124" t="s">
        <v>2231</v>
      </c>
      <c r="Q124" t="s">
        <v>3882</v>
      </c>
      <c r="R124" t="s">
        <v>188</v>
      </c>
      <c r="AA124" t="s">
        <v>1190</v>
      </c>
      <c r="AB124" t="s">
        <v>792</v>
      </c>
      <c r="AH124" t="s">
        <v>1694</v>
      </c>
      <c r="AM124" t="s">
        <v>2767</v>
      </c>
      <c r="BH124" s="84" t="s">
        <v>3010</v>
      </c>
      <c r="BQ124" t="s">
        <v>1930</v>
      </c>
      <c r="BT124" s="81" t="s">
        <v>2629</v>
      </c>
    </row>
    <row r="125" spans="1:72" x14ac:dyDescent="0.35">
      <c r="A125" t="s">
        <v>2232</v>
      </c>
      <c r="Q125" t="s">
        <v>3141</v>
      </c>
      <c r="R125" t="s">
        <v>189</v>
      </c>
      <c r="AA125" t="s">
        <v>1191</v>
      </c>
      <c r="AB125" t="s">
        <v>793</v>
      </c>
      <c r="AH125" t="s">
        <v>1708</v>
      </c>
      <c r="AM125" t="s">
        <v>2768</v>
      </c>
      <c r="BH125" s="84" t="s">
        <v>3011</v>
      </c>
      <c r="BQ125" t="s">
        <v>1931</v>
      </c>
      <c r="BT125" s="81" t="s">
        <v>2630</v>
      </c>
    </row>
    <row r="126" spans="1:72" x14ac:dyDescent="0.35">
      <c r="A126" t="s">
        <v>2233</v>
      </c>
      <c r="Q126" t="s">
        <v>3148</v>
      </c>
      <c r="R126" t="s">
        <v>190</v>
      </c>
      <c r="AA126" t="s">
        <v>1192</v>
      </c>
      <c r="AB126" t="s">
        <v>794</v>
      </c>
      <c r="AH126" t="s">
        <v>1722</v>
      </c>
      <c r="AM126" t="s">
        <v>2769</v>
      </c>
      <c r="BH126" s="84" t="s">
        <v>3012</v>
      </c>
      <c r="BQ126" t="s">
        <v>1932</v>
      </c>
      <c r="BT126" s="81" t="s">
        <v>2631</v>
      </c>
    </row>
    <row r="127" spans="1:72" x14ac:dyDescent="0.35">
      <c r="A127" t="s">
        <v>2234</v>
      </c>
      <c r="Q127" t="s">
        <v>3150</v>
      </c>
      <c r="R127" t="s">
        <v>191</v>
      </c>
      <c r="AA127" t="s">
        <v>1193</v>
      </c>
      <c r="AB127" t="s">
        <v>795</v>
      </c>
      <c r="AM127" t="s">
        <v>2770</v>
      </c>
      <c r="BH127" s="84" t="s">
        <v>3013</v>
      </c>
      <c r="BQ127" t="s">
        <v>1933</v>
      </c>
      <c r="BT127" s="81" t="s">
        <v>2632</v>
      </c>
    </row>
    <row r="128" spans="1:72" x14ac:dyDescent="0.35">
      <c r="A128" t="s">
        <v>2235</v>
      </c>
      <c r="Q128" t="s">
        <v>1033</v>
      </c>
      <c r="R128" t="s">
        <v>192</v>
      </c>
      <c r="AA128" t="s">
        <v>1194</v>
      </c>
      <c r="AB128" t="s">
        <v>798</v>
      </c>
      <c r="AH128" t="s">
        <v>1653</v>
      </c>
      <c r="AM128" t="s">
        <v>2771</v>
      </c>
      <c r="BH128" s="84" t="s">
        <v>3014</v>
      </c>
      <c r="BQ128" t="s">
        <v>1934</v>
      </c>
      <c r="BT128" s="81" t="s">
        <v>2633</v>
      </c>
    </row>
    <row r="129" spans="1:72" x14ac:dyDescent="0.35">
      <c r="A129" t="s">
        <v>2236</v>
      </c>
      <c r="Q129" t="s">
        <v>3154</v>
      </c>
      <c r="R129" t="s">
        <v>193</v>
      </c>
      <c r="AA129" t="s">
        <v>1195</v>
      </c>
      <c r="AB129" t="s">
        <v>799</v>
      </c>
      <c r="AH129" t="s">
        <v>1667</v>
      </c>
      <c r="AM129" t="s">
        <v>2772</v>
      </c>
      <c r="BH129" s="84" t="s">
        <v>3015</v>
      </c>
      <c r="BQ129" t="s">
        <v>1935</v>
      </c>
      <c r="BT129" s="81" t="s">
        <v>2634</v>
      </c>
    </row>
    <row r="130" spans="1:72" x14ac:dyDescent="0.35">
      <c r="A130" t="s">
        <v>2237</v>
      </c>
      <c r="Q130" t="s">
        <v>3233</v>
      </c>
      <c r="R130" t="s">
        <v>194</v>
      </c>
      <c r="AA130" t="s">
        <v>1196</v>
      </c>
      <c r="AB130" t="s">
        <v>800</v>
      </c>
      <c r="AH130" t="s">
        <v>1681</v>
      </c>
      <c r="AM130" t="s">
        <v>2773</v>
      </c>
      <c r="BH130" s="84" t="s">
        <v>3016</v>
      </c>
      <c r="BQ130" t="s">
        <v>1936</v>
      </c>
      <c r="BT130" s="81" t="s">
        <v>2635</v>
      </c>
    </row>
    <row r="131" spans="1:72" x14ac:dyDescent="0.35">
      <c r="A131" t="s">
        <v>2238</v>
      </c>
      <c r="Q131" t="s">
        <v>3152</v>
      </c>
      <c r="R131" t="s">
        <v>195</v>
      </c>
      <c r="AA131" t="s">
        <v>1197</v>
      </c>
      <c r="AB131" t="s">
        <v>801</v>
      </c>
      <c r="AH131" t="s">
        <v>1695</v>
      </c>
      <c r="AM131" t="s">
        <v>2774</v>
      </c>
      <c r="BH131" s="84" t="s">
        <v>3017</v>
      </c>
      <c r="BQ131" t="s">
        <v>1937</v>
      </c>
      <c r="BT131" s="81" t="s">
        <v>2032</v>
      </c>
    </row>
    <row r="132" spans="1:72" x14ac:dyDescent="0.35">
      <c r="A132" t="s">
        <v>2239</v>
      </c>
      <c r="Q132" t="s">
        <v>3151</v>
      </c>
      <c r="R132" t="s">
        <v>196</v>
      </c>
      <c r="AA132" t="s">
        <v>1198</v>
      </c>
      <c r="AB132" t="s">
        <v>802</v>
      </c>
      <c r="AH132" t="s">
        <v>1709</v>
      </c>
      <c r="AM132" t="s">
        <v>2775</v>
      </c>
      <c r="BH132" s="84" t="s">
        <v>3018</v>
      </c>
      <c r="BQ132" t="s">
        <v>1938</v>
      </c>
      <c r="BT132" s="81" t="s">
        <v>2036</v>
      </c>
    </row>
    <row r="133" spans="1:72" x14ac:dyDescent="0.35">
      <c r="A133" t="s">
        <v>2240</v>
      </c>
      <c r="Q133" t="s">
        <v>3155</v>
      </c>
      <c r="R133" t="s">
        <v>197</v>
      </c>
      <c r="AA133" t="s">
        <v>1199</v>
      </c>
      <c r="AB133" t="s">
        <v>803</v>
      </c>
      <c r="AH133" t="s">
        <v>1723</v>
      </c>
      <c r="AM133" t="s">
        <v>2776</v>
      </c>
      <c r="BH133" s="84" t="s">
        <v>3019</v>
      </c>
      <c r="BQ133" t="s">
        <v>1939</v>
      </c>
      <c r="BT133" s="81" t="s">
        <v>2636</v>
      </c>
    </row>
    <row r="134" spans="1:72" x14ac:dyDescent="0.35">
      <c r="A134" t="s">
        <v>2241</v>
      </c>
      <c r="Q134" t="s">
        <v>3156</v>
      </c>
      <c r="R134" t="s">
        <v>198</v>
      </c>
      <c r="AA134" t="s">
        <v>1200</v>
      </c>
      <c r="AB134" t="s">
        <v>804</v>
      </c>
      <c r="AM134" t="s">
        <v>2777</v>
      </c>
      <c r="BH134" s="84" t="s">
        <v>3020</v>
      </c>
      <c r="BQ134" t="s">
        <v>1940</v>
      </c>
      <c r="BT134" s="81" t="s">
        <v>2637</v>
      </c>
    </row>
    <row r="135" spans="1:72" x14ac:dyDescent="0.35">
      <c r="A135" t="s">
        <v>2242</v>
      </c>
      <c r="Q135" t="s">
        <v>3149</v>
      </c>
      <c r="R135" t="s">
        <v>199</v>
      </c>
      <c r="AA135" t="s">
        <v>1201</v>
      </c>
      <c r="AB135" t="s">
        <v>805</v>
      </c>
      <c r="AH135" t="s">
        <v>1654</v>
      </c>
      <c r="AM135" t="s">
        <v>2778</v>
      </c>
      <c r="BQ135" t="s">
        <v>1941</v>
      </c>
      <c r="BT135" s="81" t="s">
        <v>2638</v>
      </c>
    </row>
    <row r="136" spans="1:72" x14ac:dyDescent="0.35">
      <c r="A136" t="s">
        <v>2243</v>
      </c>
      <c r="Q136" t="s">
        <v>3153</v>
      </c>
      <c r="R136" t="s">
        <v>200</v>
      </c>
      <c r="AA136" t="s">
        <v>1202</v>
      </c>
      <c r="AB136" t="s">
        <v>807</v>
      </c>
      <c r="AH136" t="s">
        <v>1668</v>
      </c>
      <c r="AM136" t="s">
        <v>2779</v>
      </c>
      <c r="BQ136" t="s">
        <v>1942</v>
      </c>
      <c r="BT136" s="81" t="s">
        <v>2639</v>
      </c>
    </row>
    <row r="137" spans="1:72" x14ac:dyDescent="0.35">
      <c r="A137" t="s">
        <v>2244</v>
      </c>
      <c r="Q137" t="s">
        <v>3177</v>
      </c>
      <c r="R137" t="s">
        <v>201</v>
      </c>
      <c r="AA137" t="s">
        <v>1203</v>
      </c>
      <c r="AB137" t="s">
        <v>806</v>
      </c>
      <c r="AH137" t="s">
        <v>1682</v>
      </c>
      <c r="AM137" t="s">
        <v>2780</v>
      </c>
      <c r="BQ137" t="s">
        <v>1943</v>
      </c>
      <c r="BT137" s="81" t="s">
        <v>2640</v>
      </c>
    </row>
    <row r="138" spans="1:72" x14ac:dyDescent="0.35">
      <c r="A138" t="s">
        <v>2245</v>
      </c>
      <c r="Q138" t="s">
        <v>3173</v>
      </c>
      <c r="R138" t="s">
        <v>202</v>
      </c>
      <c r="AA138" t="s">
        <v>1204</v>
      </c>
      <c r="AB138" t="s">
        <v>808</v>
      </c>
      <c r="AH138" t="s">
        <v>1696</v>
      </c>
      <c r="AM138" t="s">
        <v>2781</v>
      </c>
      <c r="BQ138" t="s">
        <v>1944</v>
      </c>
      <c r="BT138" s="81" t="s">
        <v>2033</v>
      </c>
    </row>
    <row r="139" spans="1:72" x14ac:dyDescent="0.35">
      <c r="A139" t="s">
        <v>2246</v>
      </c>
      <c r="Q139" t="s">
        <v>3172</v>
      </c>
      <c r="R139" t="s">
        <v>203</v>
      </c>
      <c r="AA139" t="s">
        <v>1205</v>
      </c>
      <c r="AB139" t="s">
        <v>809</v>
      </c>
      <c r="AH139" t="s">
        <v>1710</v>
      </c>
      <c r="AM139" t="s">
        <v>2782</v>
      </c>
      <c r="BQ139" t="s">
        <v>1945</v>
      </c>
      <c r="BT139" s="81" t="s">
        <v>2034</v>
      </c>
    </row>
    <row r="140" spans="1:72" x14ac:dyDescent="0.35">
      <c r="A140" t="s">
        <v>2247</v>
      </c>
      <c r="Q140" t="s">
        <v>3175</v>
      </c>
      <c r="R140" t="s">
        <v>204</v>
      </c>
      <c r="AA140" t="s">
        <v>1206</v>
      </c>
      <c r="AB140" t="s">
        <v>810</v>
      </c>
      <c r="AH140" t="s">
        <v>1724</v>
      </c>
      <c r="AM140" t="s">
        <v>2783</v>
      </c>
      <c r="BQ140" t="s">
        <v>1946</v>
      </c>
      <c r="BT140" s="81" t="s">
        <v>2035</v>
      </c>
    </row>
    <row r="141" spans="1:72" x14ac:dyDescent="0.35">
      <c r="A141" t="s">
        <v>2248</v>
      </c>
      <c r="Q141" t="s">
        <v>3214</v>
      </c>
      <c r="R141" t="s">
        <v>205</v>
      </c>
      <c r="AA141" t="s">
        <v>1207</v>
      </c>
      <c r="AB141" t="s">
        <v>811</v>
      </c>
      <c r="AM141" t="s">
        <v>2784</v>
      </c>
      <c r="BQ141" t="s">
        <v>1947</v>
      </c>
      <c r="BT141" s="81" t="s">
        <v>2641</v>
      </c>
    </row>
    <row r="142" spans="1:72" x14ac:dyDescent="0.35">
      <c r="A142" t="s">
        <v>2249</v>
      </c>
      <c r="Q142" t="s">
        <v>3159</v>
      </c>
      <c r="R142" t="s">
        <v>206</v>
      </c>
      <c r="AA142" t="s">
        <v>1208</v>
      </c>
      <c r="AB142" t="s">
        <v>812</v>
      </c>
      <c r="AH142" t="s">
        <v>1655</v>
      </c>
      <c r="AM142" t="s">
        <v>2785</v>
      </c>
      <c r="BQ142" t="s">
        <v>1948</v>
      </c>
      <c r="BT142" s="81" t="s">
        <v>2642</v>
      </c>
    </row>
    <row r="143" spans="1:72" x14ac:dyDescent="0.35">
      <c r="A143" t="s">
        <v>2250</v>
      </c>
      <c r="Q143" t="s">
        <v>3165</v>
      </c>
      <c r="R143" t="s">
        <v>207</v>
      </c>
      <c r="AA143" t="s">
        <v>1209</v>
      </c>
      <c r="AB143" t="s">
        <v>813</v>
      </c>
      <c r="AH143" t="s">
        <v>1669</v>
      </c>
      <c r="AM143" t="s">
        <v>2786</v>
      </c>
      <c r="BQ143" t="s">
        <v>1949</v>
      </c>
      <c r="BT143" s="81" t="s">
        <v>2643</v>
      </c>
    </row>
    <row r="144" spans="1:72" x14ac:dyDescent="0.35">
      <c r="A144" t="s">
        <v>2251</v>
      </c>
      <c r="Q144" t="s">
        <v>3158</v>
      </c>
      <c r="R144" t="s">
        <v>208</v>
      </c>
      <c r="AA144" t="s">
        <v>1210</v>
      </c>
      <c r="AB144" t="s">
        <v>814</v>
      </c>
      <c r="AH144" t="s">
        <v>1683</v>
      </c>
      <c r="AM144" t="s">
        <v>2787</v>
      </c>
      <c r="BQ144" t="s">
        <v>1950</v>
      </c>
      <c r="BT144" s="81" t="s">
        <v>2037</v>
      </c>
    </row>
    <row r="145" spans="1:72" x14ac:dyDescent="0.35">
      <c r="A145" t="s">
        <v>2252</v>
      </c>
      <c r="Q145" t="s">
        <v>3163</v>
      </c>
      <c r="R145" t="s">
        <v>209</v>
      </c>
      <c r="AA145" t="s">
        <v>1211</v>
      </c>
      <c r="AB145" t="s">
        <v>815</v>
      </c>
      <c r="AH145" t="s">
        <v>1697</v>
      </c>
      <c r="AM145" t="s">
        <v>3033</v>
      </c>
      <c r="BQ145" t="s">
        <v>1951</v>
      </c>
      <c r="BT145" s="81" t="s">
        <v>2046</v>
      </c>
    </row>
    <row r="146" spans="1:72" x14ac:dyDescent="0.35">
      <c r="A146" t="s">
        <v>2253</v>
      </c>
      <c r="Q146" t="s">
        <v>3179</v>
      </c>
      <c r="R146" t="s">
        <v>210</v>
      </c>
      <c r="AA146" t="s">
        <v>1212</v>
      </c>
      <c r="AB146" t="s">
        <v>816</v>
      </c>
      <c r="AH146" t="s">
        <v>1711</v>
      </c>
      <c r="AM146" t="s">
        <v>2788</v>
      </c>
      <c r="BQ146" t="s">
        <v>1952</v>
      </c>
      <c r="BT146" s="81" t="s">
        <v>2644</v>
      </c>
    </row>
    <row r="147" spans="1:72" x14ac:dyDescent="0.35">
      <c r="A147" t="s">
        <v>2254</v>
      </c>
      <c r="Q147" t="s">
        <v>3174</v>
      </c>
      <c r="R147" t="s">
        <v>211</v>
      </c>
      <c r="AA147" t="s">
        <v>1213</v>
      </c>
      <c r="AB147" t="s">
        <v>817</v>
      </c>
      <c r="AH147" t="s">
        <v>1725</v>
      </c>
      <c r="AM147" t="s">
        <v>2789</v>
      </c>
      <c r="BQ147" t="s">
        <v>1953</v>
      </c>
      <c r="BT147" s="81" t="s">
        <v>2645</v>
      </c>
    </row>
    <row r="148" spans="1:72" x14ac:dyDescent="0.35">
      <c r="A148" t="s">
        <v>2255</v>
      </c>
      <c r="Q148" t="s">
        <v>3157</v>
      </c>
      <c r="R148" t="s">
        <v>212</v>
      </c>
      <c r="AA148" t="s">
        <v>1214</v>
      </c>
      <c r="AB148" t="s">
        <v>853</v>
      </c>
      <c r="AM148" t="s">
        <v>2789</v>
      </c>
      <c r="BQ148" t="s">
        <v>1954</v>
      </c>
      <c r="BT148" s="81" t="s">
        <v>2646</v>
      </c>
    </row>
    <row r="149" spans="1:72" x14ac:dyDescent="0.35">
      <c r="A149" t="s">
        <v>2256</v>
      </c>
      <c r="Q149" t="s">
        <v>1034</v>
      </c>
      <c r="R149" t="s">
        <v>213</v>
      </c>
      <c r="AA149" t="s">
        <v>1215</v>
      </c>
      <c r="AB149" t="s">
        <v>852</v>
      </c>
      <c r="AH149" t="s">
        <v>1656</v>
      </c>
      <c r="AM149" t="s">
        <v>2790</v>
      </c>
      <c r="BQ149" t="s">
        <v>1955</v>
      </c>
      <c r="BT149" s="81" t="s">
        <v>2044</v>
      </c>
    </row>
    <row r="150" spans="1:72" x14ac:dyDescent="0.35">
      <c r="A150" t="s">
        <v>2257</v>
      </c>
      <c r="Q150" t="s">
        <v>3166</v>
      </c>
      <c r="R150" t="s">
        <v>214</v>
      </c>
      <c r="AA150" t="s">
        <v>1216</v>
      </c>
      <c r="AB150" t="s">
        <v>854</v>
      </c>
      <c r="AH150" t="s">
        <v>1670</v>
      </c>
      <c r="AM150" t="s">
        <v>2790</v>
      </c>
      <c r="BQ150" t="s">
        <v>1956</v>
      </c>
      <c r="BT150" s="81" t="s">
        <v>2045</v>
      </c>
    </row>
    <row r="151" spans="1:72" x14ac:dyDescent="0.35">
      <c r="A151" t="s">
        <v>2258</v>
      </c>
      <c r="Q151" t="s">
        <v>3167</v>
      </c>
      <c r="R151" t="s">
        <v>215</v>
      </c>
      <c r="AA151" t="s">
        <v>1217</v>
      </c>
      <c r="AB151" t="s">
        <v>855</v>
      </c>
      <c r="AH151" t="s">
        <v>1684</v>
      </c>
      <c r="AM151" t="s">
        <v>2791</v>
      </c>
      <c r="BQ151" t="s">
        <v>1957</v>
      </c>
      <c r="BT151" s="81" t="s">
        <v>2047</v>
      </c>
    </row>
    <row r="152" spans="1:72" x14ac:dyDescent="0.35">
      <c r="A152" t="s">
        <v>2259</v>
      </c>
      <c r="Q152" t="s">
        <v>3176</v>
      </c>
      <c r="R152" t="s">
        <v>216</v>
      </c>
      <c r="AA152" t="s">
        <v>1218</v>
      </c>
      <c r="AB152" t="s">
        <v>856</v>
      </c>
      <c r="AH152" t="s">
        <v>1698</v>
      </c>
      <c r="AM152" t="s">
        <v>2792</v>
      </c>
      <c r="BQ152" t="s">
        <v>1958</v>
      </c>
      <c r="BT152" s="81" t="s">
        <v>2647</v>
      </c>
    </row>
    <row r="153" spans="1:72" x14ac:dyDescent="0.35">
      <c r="A153" t="s">
        <v>2260</v>
      </c>
      <c r="Q153" t="s">
        <v>3164</v>
      </c>
      <c r="R153" t="s">
        <v>217</v>
      </c>
      <c r="AA153" t="s">
        <v>1219</v>
      </c>
      <c r="AB153" t="s">
        <v>857</v>
      </c>
      <c r="AH153" t="s">
        <v>1712</v>
      </c>
      <c r="AM153" t="s">
        <v>2793</v>
      </c>
      <c r="BQ153" t="s">
        <v>1959</v>
      </c>
      <c r="BT153" s="81" t="s">
        <v>2648</v>
      </c>
    </row>
    <row r="154" spans="1:72" x14ac:dyDescent="0.35">
      <c r="A154" t="s">
        <v>2261</v>
      </c>
      <c r="Q154" t="s">
        <v>3168</v>
      </c>
      <c r="R154" t="s">
        <v>218</v>
      </c>
      <c r="AA154" t="s">
        <v>1220</v>
      </c>
      <c r="AB154" t="s">
        <v>858</v>
      </c>
      <c r="AH154" t="s">
        <v>1726</v>
      </c>
      <c r="AM154" t="s">
        <v>2794</v>
      </c>
      <c r="BQ154" t="s">
        <v>1960</v>
      </c>
      <c r="BT154" s="81" t="s">
        <v>2039</v>
      </c>
    </row>
    <row r="155" spans="1:72" x14ac:dyDescent="0.35">
      <c r="A155" t="s">
        <v>2262</v>
      </c>
      <c r="Q155" t="s">
        <v>3162</v>
      </c>
      <c r="R155" t="s">
        <v>219</v>
      </c>
      <c r="AA155" t="s">
        <v>1221</v>
      </c>
      <c r="AB155" t="s">
        <v>859</v>
      </c>
      <c r="AM155" t="s">
        <v>2795</v>
      </c>
      <c r="BQ155" t="s">
        <v>1961</v>
      </c>
      <c r="BT155" s="81" t="s">
        <v>2040</v>
      </c>
    </row>
    <row r="156" spans="1:72" x14ac:dyDescent="0.35">
      <c r="A156" t="s">
        <v>2263</v>
      </c>
      <c r="Q156" t="s">
        <v>3160</v>
      </c>
      <c r="R156" t="s">
        <v>220</v>
      </c>
      <c r="AA156" t="s">
        <v>1222</v>
      </c>
      <c r="AB156" t="s">
        <v>860</v>
      </c>
      <c r="AH156" t="s">
        <v>1657</v>
      </c>
      <c r="AM156" t="s">
        <v>2796</v>
      </c>
      <c r="BQ156" t="s">
        <v>1962</v>
      </c>
      <c r="BT156" s="81" t="s">
        <v>2041</v>
      </c>
    </row>
    <row r="157" spans="1:72" x14ac:dyDescent="0.35">
      <c r="A157" t="s">
        <v>2264</v>
      </c>
      <c r="Q157" t="s">
        <v>3170</v>
      </c>
      <c r="R157" t="s">
        <v>221</v>
      </c>
      <c r="AA157" t="s">
        <v>1223</v>
      </c>
      <c r="AB157" t="s">
        <v>861</v>
      </c>
      <c r="AH157" t="s">
        <v>1671</v>
      </c>
      <c r="AM157" t="s">
        <v>2797</v>
      </c>
      <c r="BQ157" t="s">
        <v>1963</v>
      </c>
      <c r="BT157" s="81" t="s">
        <v>2649</v>
      </c>
    </row>
    <row r="158" spans="1:72" x14ac:dyDescent="0.35">
      <c r="A158" t="s">
        <v>2265</v>
      </c>
      <c r="Q158" t="s">
        <v>3161</v>
      </c>
      <c r="R158" t="s">
        <v>222</v>
      </c>
      <c r="AA158" t="s">
        <v>1224</v>
      </c>
      <c r="AB158" t="s">
        <v>862</v>
      </c>
      <c r="AH158" t="s">
        <v>1685</v>
      </c>
      <c r="AM158" t="s">
        <v>2798</v>
      </c>
      <c r="BQ158" t="s">
        <v>1964</v>
      </c>
      <c r="BT158" s="81" t="s">
        <v>2650</v>
      </c>
    </row>
    <row r="159" spans="1:72" x14ac:dyDescent="0.35">
      <c r="A159" t="s">
        <v>2266</v>
      </c>
      <c r="Q159" t="s">
        <v>3178</v>
      </c>
      <c r="R159" t="s">
        <v>223</v>
      </c>
      <c r="AA159" t="s">
        <v>1225</v>
      </c>
      <c r="AB159" t="s">
        <v>863</v>
      </c>
      <c r="AH159" t="s">
        <v>1699</v>
      </c>
      <c r="AM159" t="s">
        <v>2799</v>
      </c>
      <c r="BQ159" t="s">
        <v>1965</v>
      </c>
      <c r="BT159" s="81" t="s">
        <v>2042</v>
      </c>
    </row>
    <row r="160" spans="1:72" x14ac:dyDescent="0.35">
      <c r="A160" t="s">
        <v>2267</v>
      </c>
      <c r="Q160" t="s">
        <v>3180</v>
      </c>
      <c r="R160" t="s">
        <v>224</v>
      </c>
      <c r="AA160" t="s">
        <v>1226</v>
      </c>
      <c r="AB160" t="s">
        <v>864</v>
      </c>
      <c r="AH160" t="s">
        <v>1713</v>
      </c>
      <c r="AM160" t="s">
        <v>2800</v>
      </c>
      <c r="BQ160" t="s">
        <v>1966</v>
      </c>
      <c r="BT160" s="81" t="s">
        <v>2043</v>
      </c>
    </row>
    <row r="161" spans="1:72" x14ac:dyDescent="0.35">
      <c r="A161" t="s">
        <v>2268</v>
      </c>
      <c r="Q161" t="s">
        <v>3185</v>
      </c>
      <c r="R161" t="s">
        <v>225</v>
      </c>
      <c r="AA161" t="s">
        <v>1227</v>
      </c>
      <c r="AB161" t="s">
        <v>865</v>
      </c>
      <c r="AH161" t="s">
        <v>1727</v>
      </c>
      <c r="AM161" t="s">
        <v>3036</v>
      </c>
      <c r="BQ161" t="s">
        <v>1967</v>
      </c>
      <c r="BT161" s="81" t="s">
        <v>2651</v>
      </c>
    </row>
    <row r="162" spans="1:72" x14ac:dyDescent="0.35">
      <c r="A162" t="s">
        <v>2269</v>
      </c>
      <c r="Q162" t="s">
        <v>3188</v>
      </c>
      <c r="R162" t="s">
        <v>226</v>
      </c>
      <c r="AA162" t="s">
        <v>1228</v>
      </c>
      <c r="AB162" t="s">
        <v>866</v>
      </c>
      <c r="AM162" t="s">
        <v>2801</v>
      </c>
      <c r="BQ162" t="s">
        <v>1968</v>
      </c>
      <c r="BT162" s="81" t="s">
        <v>2048</v>
      </c>
    </row>
    <row r="163" spans="1:72" x14ac:dyDescent="0.35">
      <c r="A163" t="s">
        <v>2270</v>
      </c>
      <c r="Q163" t="s">
        <v>3191</v>
      </c>
      <c r="R163" t="s">
        <v>229</v>
      </c>
      <c r="AA163" t="s">
        <v>1229</v>
      </c>
      <c r="AB163" t="s">
        <v>867</v>
      </c>
      <c r="AH163" t="s">
        <v>1658</v>
      </c>
      <c r="AM163" t="s">
        <v>2802</v>
      </c>
      <c r="BQ163" t="s">
        <v>1969</v>
      </c>
      <c r="BT163" s="81" t="s">
        <v>3719</v>
      </c>
    </row>
    <row r="164" spans="1:72" x14ac:dyDescent="0.35">
      <c r="A164" t="s">
        <v>2271</v>
      </c>
      <c r="Q164" t="s">
        <v>3189</v>
      </c>
      <c r="R164" t="s">
        <v>230</v>
      </c>
      <c r="AA164" t="s">
        <v>1230</v>
      </c>
      <c r="AB164" t="s">
        <v>868</v>
      </c>
      <c r="AH164" t="s">
        <v>1672</v>
      </c>
      <c r="AM164" t="s">
        <v>2803</v>
      </c>
      <c r="BQ164" t="s">
        <v>1970</v>
      </c>
      <c r="BT164" s="81" t="s">
        <v>3720</v>
      </c>
    </row>
    <row r="165" spans="1:72" x14ac:dyDescent="0.35">
      <c r="A165" t="s">
        <v>2272</v>
      </c>
      <c r="Q165" t="s">
        <v>3187</v>
      </c>
      <c r="R165" t="s">
        <v>231</v>
      </c>
      <c r="AA165" t="s">
        <v>1231</v>
      </c>
      <c r="AB165" t="s">
        <v>869</v>
      </c>
      <c r="AH165" t="s">
        <v>1686</v>
      </c>
      <c r="AM165" t="s">
        <v>2600</v>
      </c>
      <c r="BQ165" t="s">
        <v>1971</v>
      </c>
      <c r="BT165" s="81" t="s">
        <v>3721</v>
      </c>
    </row>
    <row r="166" spans="1:72" x14ac:dyDescent="0.35">
      <c r="A166" t="s">
        <v>2273</v>
      </c>
      <c r="Q166" t="s">
        <v>3183</v>
      </c>
      <c r="R166" t="s">
        <v>232</v>
      </c>
      <c r="AA166" t="s">
        <v>1232</v>
      </c>
      <c r="AB166" t="s">
        <v>870</v>
      </c>
      <c r="AH166" t="s">
        <v>1700</v>
      </c>
      <c r="AM166" t="s">
        <v>2804</v>
      </c>
      <c r="BQ166" t="s">
        <v>1972</v>
      </c>
      <c r="BT166" s="81" t="s">
        <v>3722</v>
      </c>
    </row>
    <row r="167" spans="1:72" x14ac:dyDescent="0.35">
      <c r="A167" t="s">
        <v>2274</v>
      </c>
      <c r="Q167" t="s">
        <v>3192</v>
      </c>
      <c r="R167" t="s">
        <v>233</v>
      </c>
      <c r="AA167" t="s">
        <v>1233</v>
      </c>
      <c r="AB167" t="s">
        <v>820</v>
      </c>
      <c r="AH167" t="s">
        <v>1714</v>
      </c>
      <c r="AM167" t="s">
        <v>2805</v>
      </c>
      <c r="BQ167" t="s">
        <v>1973</v>
      </c>
      <c r="BT167" s="81" t="s">
        <v>3723</v>
      </c>
    </row>
    <row r="168" spans="1:72" x14ac:dyDescent="0.35">
      <c r="A168" t="s">
        <v>2275</v>
      </c>
      <c r="Q168" t="s">
        <v>3182</v>
      </c>
      <c r="R168" t="s">
        <v>234</v>
      </c>
      <c r="AA168" t="s">
        <v>1234</v>
      </c>
      <c r="AB168" t="s">
        <v>821</v>
      </c>
      <c r="AH168" t="s">
        <v>1728</v>
      </c>
      <c r="AM168" t="s">
        <v>2806</v>
      </c>
      <c r="BQ168" t="s">
        <v>1974</v>
      </c>
      <c r="BT168" s="81" t="s">
        <v>3724</v>
      </c>
    </row>
    <row r="169" spans="1:72" x14ac:dyDescent="0.35">
      <c r="A169" t="s">
        <v>2276</v>
      </c>
      <c r="Q169" t="s">
        <v>3181</v>
      </c>
      <c r="R169" t="s">
        <v>235</v>
      </c>
      <c r="AA169" t="s">
        <v>1235</v>
      </c>
      <c r="AB169" t="s">
        <v>384</v>
      </c>
      <c r="AM169" t="s">
        <v>2807</v>
      </c>
      <c r="BQ169" t="s">
        <v>1975</v>
      </c>
      <c r="BT169" s="81" t="s">
        <v>3725</v>
      </c>
    </row>
    <row r="170" spans="1:72" x14ac:dyDescent="0.35">
      <c r="A170" t="s">
        <v>2277</v>
      </c>
      <c r="Q170" t="s">
        <v>3190</v>
      </c>
      <c r="R170" t="s">
        <v>236</v>
      </c>
      <c r="AA170" t="s">
        <v>1236</v>
      </c>
      <c r="AB170" t="s">
        <v>871</v>
      </c>
      <c r="AM170" t="s">
        <v>2808</v>
      </c>
      <c r="BQ170" t="s">
        <v>1976</v>
      </c>
      <c r="BT170" s="81" t="s">
        <v>3726</v>
      </c>
    </row>
    <row r="171" spans="1:72" x14ac:dyDescent="0.35">
      <c r="A171" t="s">
        <v>2278</v>
      </c>
      <c r="Q171" t="s">
        <v>3186</v>
      </c>
      <c r="R171" t="s">
        <v>237</v>
      </c>
      <c r="AA171" t="s">
        <v>1237</v>
      </c>
      <c r="AB171" t="s">
        <v>872</v>
      </c>
      <c r="AM171" t="s">
        <v>2809</v>
      </c>
      <c r="BQ171" t="s">
        <v>1977</v>
      </c>
      <c r="BT171" s="81" t="s">
        <v>3727</v>
      </c>
    </row>
    <row r="172" spans="1:72" x14ac:dyDescent="0.35">
      <c r="A172" t="s">
        <v>2279</v>
      </c>
      <c r="Q172" t="s">
        <v>3193</v>
      </c>
      <c r="R172" t="s">
        <v>238</v>
      </c>
      <c r="AA172" t="s">
        <v>1238</v>
      </c>
      <c r="AB172" t="s">
        <v>873</v>
      </c>
      <c r="AM172" t="s">
        <v>2810</v>
      </c>
      <c r="BQ172" t="s">
        <v>1978</v>
      </c>
      <c r="BT172" s="81" t="s">
        <v>3728</v>
      </c>
    </row>
    <row r="173" spans="1:72" x14ac:dyDescent="0.35">
      <c r="Q173" t="s">
        <v>3197</v>
      </c>
      <c r="R173" t="s">
        <v>239</v>
      </c>
      <c r="AA173" t="s">
        <v>1239</v>
      </c>
      <c r="AB173" t="s">
        <v>874</v>
      </c>
      <c r="AM173" t="s">
        <v>2811</v>
      </c>
      <c r="BQ173" t="s">
        <v>1979</v>
      </c>
      <c r="BT173" s="81" t="s">
        <v>3729</v>
      </c>
    </row>
    <row r="174" spans="1:72" x14ac:dyDescent="0.35">
      <c r="Q174" t="s">
        <v>3200</v>
      </c>
      <c r="R174" t="s">
        <v>240</v>
      </c>
      <c r="AA174" t="s">
        <v>1240</v>
      </c>
      <c r="AB174" t="s">
        <v>875</v>
      </c>
      <c r="AM174" t="s">
        <v>2812</v>
      </c>
      <c r="BQ174" t="s">
        <v>1980</v>
      </c>
      <c r="BT174" s="81" t="s">
        <v>3730</v>
      </c>
    </row>
    <row r="175" spans="1:72" x14ac:dyDescent="0.35">
      <c r="Q175" t="s">
        <v>3104</v>
      </c>
      <c r="R175" t="s">
        <v>241</v>
      </c>
      <c r="AA175" t="s">
        <v>1241</v>
      </c>
      <c r="AB175" t="s">
        <v>385</v>
      </c>
      <c r="AM175" t="s">
        <v>2813</v>
      </c>
      <c r="BQ175" t="s">
        <v>1981</v>
      </c>
      <c r="BT175" s="81" t="s">
        <v>3731</v>
      </c>
    </row>
    <row r="176" spans="1:72" x14ac:dyDescent="0.35">
      <c r="Q176" t="s">
        <v>3198</v>
      </c>
      <c r="R176" t="s">
        <v>242</v>
      </c>
      <c r="AA176" t="s">
        <v>1242</v>
      </c>
      <c r="AB176" t="s">
        <v>386</v>
      </c>
      <c r="AM176" t="s">
        <v>2814</v>
      </c>
      <c r="BQ176" t="s">
        <v>1982</v>
      </c>
      <c r="BT176" s="81" t="s">
        <v>3732</v>
      </c>
    </row>
    <row r="177" spans="17:72" x14ac:dyDescent="0.35">
      <c r="Q177" t="s">
        <v>3201</v>
      </c>
      <c r="R177" t="s">
        <v>243</v>
      </c>
      <c r="AA177" t="s">
        <v>1243</v>
      </c>
      <c r="AB177" t="s">
        <v>387</v>
      </c>
      <c r="AM177" t="s">
        <v>2815</v>
      </c>
      <c r="BQ177" t="s">
        <v>1983</v>
      </c>
      <c r="BT177" s="81" t="s">
        <v>3733</v>
      </c>
    </row>
    <row r="178" spans="17:72" x14ac:dyDescent="0.35">
      <c r="Q178" t="s">
        <v>3194</v>
      </c>
      <c r="R178" t="s">
        <v>244</v>
      </c>
      <c r="AA178" t="s">
        <v>1244</v>
      </c>
      <c r="AB178" t="s">
        <v>388</v>
      </c>
      <c r="AM178" t="s">
        <v>2816</v>
      </c>
      <c r="BQ178" t="s">
        <v>1984</v>
      </c>
      <c r="BT178" s="81" t="s">
        <v>3734</v>
      </c>
    </row>
    <row r="179" spans="17:72" x14ac:dyDescent="0.35">
      <c r="Q179" t="s">
        <v>3203</v>
      </c>
      <c r="R179" t="s">
        <v>245</v>
      </c>
      <c r="AA179" t="s">
        <v>1245</v>
      </c>
      <c r="AB179" t="s">
        <v>389</v>
      </c>
      <c r="AM179" t="s">
        <v>2817</v>
      </c>
      <c r="BQ179" t="s">
        <v>1985</v>
      </c>
      <c r="BT179" s="81" t="s">
        <v>3735</v>
      </c>
    </row>
    <row r="180" spans="17:72" x14ac:dyDescent="0.35">
      <c r="Q180" t="s">
        <v>3215</v>
      </c>
      <c r="R180" t="s">
        <v>246</v>
      </c>
      <c r="AA180" t="s">
        <v>1246</v>
      </c>
      <c r="AB180" t="s">
        <v>390</v>
      </c>
      <c r="AM180" t="s">
        <v>2818</v>
      </c>
      <c r="BQ180" t="s">
        <v>1986</v>
      </c>
      <c r="BT180" s="81" t="s">
        <v>3736</v>
      </c>
    </row>
    <row r="181" spans="17:72" x14ac:dyDescent="0.35">
      <c r="Q181" t="s">
        <v>3202</v>
      </c>
      <c r="R181" t="s">
        <v>247</v>
      </c>
      <c r="AA181" t="s">
        <v>1247</v>
      </c>
      <c r="AB181" t="s">
        <v>391</v>
      </c>
      <c r="AM181" t="s">
        <v>2819</v>
      </c>
      <c r="BQ181" t="s">
        <v>1987</v>
      </c>
      <c r="BT181" s="81" t="s">
        <v>3737</v>
      </c>
    </row>
    <row r="182" spans="17:72" x14ac:dyDescent="0.35">
      <c r="Q182" t="s">
        <v>3205</v>
      </c>
      <c r="R182" t="s">
        <v>248</v>
      </c>
      <c r="AA182" t="s">
        <v>1248</v>
      </c>
      <c r="AB182" t="s">
        <v>392</v>
      </c>
      <c r="AM182" t="s">
        <v>2820</v>
      </c>
      <c r="BQ182" t="s">
        <v>1988</v>
      </c>
      <c r="BT182" s="81" t="s">
        <v>3738</v>
      </c>
    </row>
    <row r="183" spans="17:72" x14ac:dyDescent="0.35">
      <c r="Q183" t="s">
        <v>3196</v>
      </c>
      <c r="R183" t="s">
        <v>249</v>
      </c>
      <c r="AA183" t="s">
        <v>1249</v>
      </c>
      <c r="AB183" t="s">
        <v>393</v>
      </c>
      <c r="AM183" t="s">
        <v>2821</v>
      </c>
      <c r="BQ183" t="s">
        <v>1989</v>
      </c>
      <c r="BT183" s="81" t="s">
        <v>3739</v>
      </c>
    </row>
    <row r="184" spans="17:72" x14ac:dyDescent="0.35">
      <c r="Q184" t="s">
        <v>3204</v>
      </c>
      <c r="R184" t="s">
        <v>250</v>
      </c>
      <c r="AA184" t="s">
        <v>1250</v>
      </c>
      <c r="AB184" t="s">
        <v>394</v>
      </c>
      <c r="AM184" t="s">
        <v>2822</v>
      </c>
      <c r="BQ184" t="s">
        <v>1990</v>
      </c>
      <c r="BT184" s="81" t="s">
        <v>3740</v>
      </c>
    </row>
    <row r="185" spans="17:72" x14ac:dyDescent="0.35">
      <c r="Q185" t="s">
        <v>3195</v>
      </c>
      <c r="R185" t="s">
        <v>251</v>
      </c>
      <c r="AA185" t="s">
        <v>1251</v>
      </c>
      <c r="AB185" t="s">
        <v>395</v>
      </c>
      <c r="AM185" t="s">
        <v>2823</v>
      </c>
      <c r="BQ185" t="s">
        <v>1991</v>
      </c>
      <c r="BT185" s="81" t="s">
        <v>3741</v>
      </c>
    </row>
    <row r="186" spans="17:72" x14ac:dyDescent="0.35">
      <c r="Q186" t="s">
        <v>3199</v>
      </c>
      <c r="R186" t="s">
        <v>252</v>
      </c>
      <c r="AA186" t="s">
        <v>1252</v>
      </c>
      <c r="AB186" t="s">
        <v>396</v>
      </c>
      <c r="AM186" t="s">
        <v>2824</v>
      </c>
      <c r="BT186" s="81" t="s">
        <v>3742</v>
      </c>
    </row>
    <row r="187" spans="17:72" x14ac:dyDescent="0.35">
      <c r="Q187" t="s">
        <v>3206</v>
      </c>
      <c r="R187" t="s">
        <v>253</v>
      </c>
      <c r="AA187" t="s">
        <v>1253</v>
      </c>
      <c r="AB187" t="s">
        <v>397</v>
      </c>
      <c r="AM187" t="s">
        <v>2825</v>
      </c>
      <c r="BT187" s="81" t="s">
        <v>3743</v>
      </c>
    </row>
    <row r="188" spans="17:72" x14ac:dyDescent="0.35">
      <c r="Q188" t="s">
        <v>3207</v>
      </c>
      <c r="R188" t="s">
        <v>254</v>
      </c>
      <c r="AA188" t="s">
        <v>1254</v>
      </c>
      <c r="AB188" t="s">
        <v>398</v>
      </c>
      <c r="AM188" t="s">
        <v>2826</v>
      </c>
      <c r="BT188" s="81" t="s">
        <v>3744</v>
      </c>
    </row>
    <row r="189" spans="17:72" x14ac:dyDescent="0.35">
      <c r="Q189" t="s">
        <v>3208</v>
      </c>
      <c r="R189" t="s">
        <v>255</v>
      </c>
      <c r="AA189" t="s">
        <v>1255</v>
      </c>
      <c r="AB189" t="s">
        <v>399</v>
      </c>
      <c r="AM189" t="s">
        <v>2827</v>
      </c>
      <c r="BT189" s="81" t="s">
        <v>3745</v>
      </c>
    </row>
    <row r="190" spans="17:72" x14ac:dyDescent="0.35">
      <c r="Q190" t="s">
        <v>3222</v>
      </c>
      <c r="R190" t="s">
        <v>256</v>
      </c>
      <c r="AA190" t="s">
        <v>1256</v>
      </c>
      <c r="AB190" t="s">
        <v>400</v>
      </c>
      <c r="AM190" t="s">
        <v>2828</v>
      </c>
      <c r="BT190" s="81" t="s">
        <v>3746</v>
      </c>
    </row>
    <row r="191" spans="17:72" x14ac:dyDescent="0.35">
      <c r="Q191" t="s">
        <v>3209</v>
      </c>
      <c r="R191" t="s">
        <v>257</v>
      </c>
      <c r="AA191" t="s">
        <v>1257</v>
      </c>
      <c r="AB191" t="s">
        <v>401</v>
      </c>
      <c r="AM191" t="s">
        <v>2829</v>
      </c>
      <c r="BT191" s="81" t="s">
        <v>3747</v>
      </c>
    </row>
    <row r="192" spans="17:72" x14ac:dyDescent="0.35">
      <c r="Q192" t="s">
        <v>3210</v>
      </c>
      <c r="R192" t="s">
        <v>258</v>
      </c>
      <c r="AA192" t="s">
        <v>1258</v>
      </c>
      <c r="AB192" t="s">
        <v>402</v>
      </c>
      <c r="AM192" t="s">
        <v>2830</v>
      </c>
      <c r="BT192" s="81" t="s">
        <v>3748</v>
      </c>
    </row>
    <row r="193" spans="17:72" x14ac:dyDescent="0.35">
      <c r="Q193" t="s">
        <v>3220</v>
      </c>
      <c r="R193" t="s">
        <v>259</v>
      </c>
      <c r="AA193" t="s">
        <v>1259</v>
      </c>
      <c r="AB193" t="s">
        <v>403</v>
      </c>
      <c r="AM193" t="s">
        <v>2831</v>
      </c>
      <c r="BT193" s="81" t="s">
        <v>3749</v>
      </c>
    </row>
    <row r="194" spans="17:72" x14ac:dyDescent="0.35">
      <c r="Q194" t="s">
        <v>3228</v>
      </c>
      <c r="R194" t="s">
        <v>260</v>
      </c>
      <c r="AA194" t="s">
        <v>1260</v>
      </c>
      <c r="AB194" t="s">
        <v>822</v>
      </c>
      <c r="AM194" t="s">
        <v>2832</v>
      </c>
      <c r="BT194" s="81" t="s">
        <v>3750</v>
      </c>
    </row>
    <row r="195" spans="17:72" x14ac:dyDescent="0.35">
      <c r="Q195" t="s">
        <v>3223</v>
      </c>
      <c r="R195" t="s">
        <v>261</v>
      </c>
      <c r="AA195" t="s">
        <v>1261</v>
      </c>
      <c r="AB195" t="s">
        <v>823</v>
      </c>
      <c r="AM195" t="s">
        <v>2833</v>
      </c>
      <c r="BT195" s="81" t="s">
        <v>3751</v>
      </c>
    </row>
    <row r="196" spans="17:72" x14ac:dyDescent="0.35">
      <c r="Q196" t="s">
        <v>3234</v>
      </c>
      <c r="R196" t="s">
        <v>262</v>
      </c>
      <c r="AA196" t="s">
        <v>1262</v>
      </c>
      <c r="AB196" t="s">
        <v>824</v>
      </c>
      <c r="AM196" t="s">
        <v>2834</v>
      </c>
      <c r="BT196" s="81" t="s">
        <v>3752</v>
      </c>
    </row>
    <row r="197" spans="17:72" x14ac:dyDescent="0.35">
      <c r="Q197" t="s">
        <v>3238</v>
      </c>
      <c r="R197" t="s">
        <v>263</v>
      </c>
      <c r="AA197" t="s">
        <v>1263</v>
      </c>
      <c r="AB197" t="s">
        <v>825</v>
      </c>
      <c r="AM197" t="s">
        <v>2835</v>
      </c>
      <c r="BT197" s="81" t="s">
        <v>3753</v>
      </c>
    </row>
    <row r="198" spans="17:72" x14ac:dyDescent="0.35">
      <c r="Q198" t="s">
        <v>3225</v>
      </c>
      <c r="R198" t="s">
        <v>264</v>
      </c>
      <c r="AA198" t="s">
        <v>1264</v>
      </c>
      <c r="AB198" t="s">
        <v>412</v>
      </c>
      <c r="AM198" t="s">
        <v>2836</v>
      </c>
      <c r="BT198" s="81" t="s">
        <v>3754</v>
      </c>
    </row>
    <row r="199" spans="17:72" x14ac:dyDescent="0.35">
      <c r="Q199" t="s">
        <v>3212</v>
      </c>
      <c r="R199" t="s">
        <v>265</v>
      </c>
      <c r="AA199" t="s">
        <v>1265</v>
      </c>
      <c r="AB199" t="s">
        <v>404</v>
      </c>
      <c r="AM199" t="s">
        <v>2837</v>
      </c>
      <c r="BT199" s="81" t="s">
        <v>3755</v>
      </c>
    </row>
    <row r="200" spans="17:72" x14ac:dyDescent="0.35">
      <c r="Q200" t="s">
        <v>3227</v>
      </c>
      <c r="R200" t="s">
        <v>266</v>
      </c>
      <c r="AA200" t="s">
        <v>1266</v>
      </c>
      <c r="AB200" t="s">
        <v>405</v>
      </c>
      <c r="AM200" t="s">
        <v>2838</v>
      </c>
      <c r="BT200" s="81" t="s">
        <v>3756</v>
      </c>
    </row>
    <row r="201" spans="17:72" x14ac:dyDescent="0.35">
      <c r="Q201" t="s">
        <v>3236</v>
      </c>
      <c r="R201" t="s">
        <v>267</v>
      </c>
      <c r="AA201" t="s">
        <v>1267</v>
      </c>
      <c r="AB201" t="s">
        <v>406</v>
      </c>
      <c r="AM201" t="s">
        <v>2839</v>
      </c>
      <c r="BT201" s="81" t="s">
        <v>3757</v>
      </c>
    </row>
    <row r="202" spans="17:72" x14ac:dyDescent="0.35">
      <c r="Q202" t="s">
        <v>3226</v>
      </c>
      <c r="R202" t="s">
        <v>268</v>
      </c>
      <c r="AA202" t="s">
        <v>1268</v>
      </c>
      <c r="AB202" t="s">
        <v>407</v>
      </c>
      <c r="AM202" t="s">
        <v>2840</v>
      </c>
      <c r="BT202" s="81" t="s">
        <v>3758</v>
      </c>
    </row>
    <row r="203" spans="17:72" x14ac:dyDescent="0.35">
      <c r="Q203" t="s">
        <v>3224</v>
      </c>
      <c r="R203" t="s">
        <v>269</v>
      </c>
      <c r="AA203" t="s">
        <v>1269</v>
      </c>
      <c r="AB203" t="s">
        <v>408</v>
      </c>
      <c r="AM203" t="s">
        <v>2841</v>
      </c>
      <c r="BT203" s="81" t="s">
        <v>3759</v>
      </c>
    </row>
    <row r="204" spans="17:72" x14ac:dyDescent="0.35">
      <c r="Q204" t="s">
        <v>3218</v>
      </c>
      <c r="R204" t="s">
        <v>270</v>
      </c>
      <c r="AA204" t="s">
        <v>1270</v>
      </c>
      <c r="AB204" t="s">
        <v>409</v>
      </c>
      <c r="AM204" t="s">
        <v>2842</v>
      </c>
      <c r="BT204" s="81" t="s">
        <v>3760</v>
      </c>
    </row>
    <row r="205" spans="17:72" x14ac:dyDescent="0.35">
      <c r="Q205" t="s">
        <v>3221</v>
      </c>
      <c r="R205" t="s">
        <v>271</v>
      </c>
      <c r="AA205" t="s">
        <v>1271</v>
      </c>
      <c r="AB205" t="s">
        <v>410</v>
      </c>
      <c r="AM205" t="s">
        <v>2843</v>
      </c>
      <c r="BT205" s="81" t="s">
        <v>3761</v>
      </c>
    </row>
    <row r="206" spans="17:72" x14ac:dyDescent="0.35">
      <c r="Q206" t="s">
        <v>3229</v>
      </c>
      <c r="R206" t="s">
        <v>272</v>
      </c>
      <c r="AA206" t="s">
        <v>1272</v>
      </c>
      <c r="AB206" t="s">
        <v>411</v>
      </c>
      <c r="AM206" t="s">
        <v>2844</v>
      </c>
      <c r="BT206" s="81" t="s">
        <v>3762</v>
      </c>
    </row>
    <row r="207" spans="17:72" x14ac:dyDescent="0.35">
      <c r="Q207" t="s">
        <v>3235</v>
      </c>
      <c r="R207" t="s">
        <v>273</v>
      </c>
      <c r="AA207" t="s">
        <v>1273</v>
      </c>
      <c r="AB207" t="s">
        <v>413</v>
      </c>
      <c r="AM207" t="s">
        <v>2845</v>
      </c>
      <c r="BT207" s="81" t="s">
        <v>3763</v>
      </c>
    </row>
    <row r="208" spans="17:72" x14ac:dyDescent="0.35">
      <c r="Q208" t="s">
        <v>3219</v>
      </c>
      <c r="R208" t="s">
        <v>275</v>
      </c>
      <c r="AA208" t="s">
        <v>1274</v>
      </c>
      <c r="AB208" t="s">
        <v>414</v>
      </c>
      <c r="AM208" t="s">
        <v>2846</v>
      </c>
      <c r="BT208" s="81" t="s">
        <v>3764</v>
      </c>
    </row>
    <row r="209" spans="17:72" x14ac:dyDescent="0.35">
      <c r="Q209" t="s">
        <v>3093</v>
      </c>
      <c r="R209" t="s">
        <v>276</v>
      </c>
      <c r="AA209" t="s">
        <v>1275</v>
      </c>
      <c r="AB209" t="s">
        <v>415</v>
      </c>
      <c r="AM209" t="s">
        <v>2847</v>
      </c>
      <c r="BT209" s="81" t="s">
        <v>3765</v>
      </c>
    </row>
    <row r="210" spans="17:72" x14ac:dyDescent="0.35">
      <c r="Q210" t="s">
        <v>3240</v>
      </c>
      <c r="R210" t="s">
        <v>277</v>
      </c>
      <c r="AA210" t="s">
        <v>1276</v>
      </c>
      <c r="AB210" t="s">
        <v>416</v>
      </c>
      <c r="AM210" t="s">
        <v>2848</v>
      </c>
      <c r="BT210" s="81" t="s">
        <v>3766</v>
      </c>
    </row>
    <row r="211" spans="17:72" x14ac:dyDescent="0.35">
      <c r="Q211" t="s">
        <v>3237</v>
      </c>
      <c r="R211" t="s">
        <v>278</v>
      </c>
      <c r="AA211" t="s">
        <v>1277</v>
      </c>
      <c r="AB211" t="s">
        <v>417</v>
      </c>
      <c r="AM211" t="s">
        <v>2849</v>
      </c>
      <c r="BT211" s="81" t="s">
        <v>3767</v>
      </c>
    </row>
    <row r="212" spans="17:72" x14ac:dyDescent="0.35">
      <c r="Q212" t="s">
        <v>3252</v>
      </c>
      <c r="R212" t="s">
        <v>279</v>
      </c>
      <c r="AA212" t="s">
        <v>1278</v>
      </c>
      <c r="AB212" t="s">
        <v>519</v>
      </c>
      <c r="AM212" t="s">
        <v>2850</v>
      </c>
      <c r="BT212" s="81" t="s">
        <v>3768</v>
      </c>
    </row>
    <row r="213" spans="17:72" x14ac:dyDescent="0.35">
      <c r="Q213" t="s">
        <v>1035</v>
      </c>
      <c r="R213" t="s">
        <v>280</v>
      </c>
      <c r="AA213" t="s">
        <v>1279</v>
      </c>
      <c r="AB213" t="s">
        <v>520</v>
      </c>
      <c r="AM213" t="s">
        <v>2851</v>
      </c>
      <c r="BT213" s="81" t="s">
        <v>3769</v>
      </c>
    </row>
    <row r="214" spans="17:72" x14ac:dyDescent="0.35">
      <c r="Q214" t="s">
        <v>3105</v>
      </c>
      <c r="R214" t="s">
        <v>281</v>
      </c>
      <c r="AA214" t="s">
        <v>1280</v>
      </c>
      <c r="AB214" t="s">
        <v>521</v>
      </c>
      <c r="AM214" t="s">
        <v>2852</v>
      </c>
      <c r="BT214" s="81" t="s">
        <v>3770</v>
      </c>
    </row>
    <row r="215" spans="17:72" x14ac:dyDescent="0.35">
      <c r="Q215" t="s">
        <v>3246</v>
      </c>
      <c r="R215" t="s">
        <v>282</v>
      </c>
      <c r="AA215" t="s">
        <v>1281</v>
      </c>
      <c r="AB215" t="s">
        <v>522</v>
      </c>
      <c r="AM215" t="s">
        <v>2853</v>
      </c>
      <c r="BT215" s="81" t="s">
        <v>3771</v>
      </c>
    </row>
    <row r="216" spans="17:72" x14ac:dyDescent="0.35">
      <c r="Q216" t="s">
        <v>3244</v>
      </c>
      <c r="R216" t="s">
        <v>283</v>
      </c>
      <c r="AA216" t="s">
        <v>1282</v>
      </c>
      <c r="AB216" t="s">
        <v>523</v>
      </c>
      <c r="AM216" t="s">
        <v>2854</v>
      </c>
      <c r="BT216" s="81" t="s">
        <v>3772</v>
      </c>
    </row>
    <row r="217" spans="17:72" x14ac:dyDescent="0.35">
      <c r="Q217" t="s">
        <v>3242</v>
      </c>
      <c r="R217" t="s">
        <v>284</v>
      </c>
      <c r="AA217" t="s">
        <v>1283</v>
      </c>
      <c r="AB217" t="s">
        <v>524</v>
      </c>
      <c r="AM217" t="s">
        <v>2855</v>
      </c>
      <c r="BT217" s="81" t="s">
        <v>3773</v>
      </c>
    </row>
    <row r="218" spans="17:72" x14ac:dyDescent="0.35">
      <c r="Q218" t="s">
        <v>1036</v>
      </c>
      <c r="R218" t="s">
        <v>285</v>
      </c>
      <c r="AA218" t="s">
        <v>1284</v>
      </c>
      <c r="AB218" t="s">
        <v>826</v>
      </c>
      <c r="AM218" t="s">
        <v>2856</v>
      </c>
      <c r="BT218" s="81" t="s">
        <v>3774</v>
      </c>
    </row>
    <row r="219" spans="17:72" x14ac:dyDescent="0.35">
      <c r="Q219" t="s">
        <v>3245</v>
      </c>
      <c r="R219" t="s">
        <v>286</v>
      </c>
      <c r="AA219" t="s">
        <v>1285</v>
      </c>
      <c r="AB219" t="s">
        <v>532</v>
      </c>
      <c r="AM219" t="s">
        <v>2857</v>
      </c>
      <c r="BT219" s="81" t="s">
        <v>3775</v>
      </c>
    </row>
    <row r="220" spans="17:72" x14ac:dyDescent="0.35">
      <c r="Q220" t="s">
        <v>3251</v>
      </c>
      <c r="R220" t="s">
        <v>287</v>
      </c>
      <c r="AA220" t="s">
        <v>1286</v>
      </c>
      <c r="AB220" t="s">
        <v>525</v>
      </c>
      <c r="AM220" t="s">
        <v>2858</v>
      </c>
      <c r="BT220" s="81" t="s">
        <v>3776</v>
      </c>
    </row>
    <row r="221" spans="17:72" x14ac:dyDescent="0.35">
      <c r="Q221" t="s">
        <v>3249</v>
      </c>
      <c r="R221" t="s">
        <v>288</v>
      </c>
      <c r="AA221" t="s">
        <v>1287</v>
      </c>
      <c r="AB221" t="s">
        <v>526</v>
      </c>
      <c r="AM221" t="s">
        <v>2859</v>
      </c>
      <c r="BT221" s="81" t="s">
        <v>3777</v>
      </c>
    </row>
    <row r="222" spans="17:72" x14ac:dyDescent="0.35">
      <c r="Q222" t="s">
        <v>3247</v>
      </c>
      <c r="R222" t="s">
        <v>289</v>
      </c>
      <c r="AA222" t="s">
        <v>1288</v>
      </c>
      <c r="AB222" t="s">
        <v>527</v>
      </c>
      <c r="AM222" t="s">
        <v>2860</v>
      </c>
      <c r="BT222" s="81" t="s">
        <v>3778</v>
      </c>
    </row>
    <row r="223" spans="17:72" x14ac:dyDescent="0.35">
      <c r="Q223" t="s">
        <v>3250</v>
      </c>
      <c r="R223" t="s">
        <v>290</v>
      </c>
      <c r="AA223" t="s">
        <v>1289</v>
      </c>
      <c r="AB223" t="s">
        <v>528</v>
      </c>
      <c r="AM223" t="s">
        <v>2861</v>
      </c>
      <c r="BT223" s="81" t="s">
        <v>3779</v>
      </c>
    </row>
    <row r="224" spans="17:72" x14ac:dyDescent="0.35">
      <c r="Q224" t="s">
        <v>3248</v>
      </c>
      <c r="R224" t="s">
        <v>291</v>
      </c>
      <c r="AA224" t="s">
        <v>1290</v>
      </c>
      <c r="AB224" t="s">
        <v>529</v>
      </c>
      <c r="AM224" t="s">
        <v>2862</v>
      </c>
      <c r="BT224" s="81" t="s">
        <v>3780</v>
      </c>
    </row>
    <row r="225" spans="17:72" x14ac:dyDescent="0.35">
      <c r="Q225" t="s">
        <v>3253</v>
      </c>
      <c r="R225" t="s">
        <v>292</v>
      </c>
      <c r="AA225" t="s">
        <v>1291</v>
      </c>
      <c r="AB225" t="s">
        <v>530</v>
      </c>
      <c r="AM225" t="s">
        <v>2863</v>
      </c>
      <c r="BT225" s="81" t="s">
        <v>3781</v>
      </c>
    </row>
    <row r="226" spans="17:72" x14ac:dyDescent="0.35">
      <c r="Q226" t="s">
        <v>3241</v>
      </c>
      <c r="R226" t="s">
        <v>293</v>
      </c>
      <c r="AA226" t="s">
        <v>1292</v>
      </c>
      <c r="AB226" t="s">
        <v>531</v>
      </c>
      <c r="AM226" t="s">
        <v>2864</v>
      </c>
      <c r="BT226" s="81" t="s">
        <v>3782</v>
      </c>
    </row>
    <row r="227" spans="17:72" x14ac:dyDescent="0.35">
      <c r="Q227" t="s">
        <v>3243</v>
      </c>
      <c r="R227" t="s">
        <v>294</v>
      </c>
      <c r="AA227" t="s">
        <v>1293</v>
      </c>
      <c r="AB227" t="s">
        <v>533</v>
      </c>
      <c r="AM227" t="s">
        <v>2865</v>
      </c>
      <c r="BT227" s="81" t="s">
        <v>3783</v>
      </c>
    </row>
    <row r="228" spans="17:72" x14ac:dyDescent="0.35">
      <c r="Q228" t="s">
        <v>3255</v>
      </c>
      <c r="R228" t="s">
        <v>295</v>
      </c>
      <c r="AA228" t="s">
        <v>1294</v>
      </c>
      <c r="AB228" t="s">
        <v>534</v>
      </c>
      <c r="AM228" t="s">
        <v>2866</v>
      </c>
      <c r="BT228" s="81" t="s">
        <v>3784</v>
      </c>
    </row>
    <row r="229" spans="17:72" x14ac:dyDescent="0.35">
      <c r="Q229" t="s">
        <v>3254</v>
      </c>
      <c r="R229" t="s">
        <v>296</v>
      </c>
      <c r="AA229" t="s">
        <v>1295</v>
      </c>
      <c r="AB229" t="s">
        <v>535</v>
      </c>
      <c r="AM229" t="s">
        <v>2867</v>
      </c>
      <c r="BT229" s="81" t="s">
        <v>3785</v>
      </c>
    </row>
    <row r="230" spans="17:72" x14ac:dyDescent="0.35">
      <c r="Q230" t="s">
        <v>3259</v>
      </c>
      <c r="R230" t="s">
        <v>297</v>
      </c>
      <c r="AA230" t="s">
        <v>1296</v>
      </c>
      <c r="AB230" t="s">
        <v>536</v>
      </c>
      <c r="AM230" t="s">
        <v>2868</v>
      </c>
      <c r="BT230" s="81" t="s">
        <v>3786</v>
      </c>
    </row>
    <row r="231" spans="17:72" x14ac:dyDescent="0.35">
      <c r="Q231" t="s">
        <v>3258</v>
      </c>
      <c r="R231" t="s">
        <v>298</v>
      </c>
      <c r="AA231" t="s">
        <v>1297</v>
      </c>
      <c r="AB231" t="s">
        <v>537</v>
      </c>
      <c r="AM231" t="s">
        <v>2869</v>
      </c>
      <c r="BT231" s="81" t="s">
        <v>3787</v>
      </c>
    </row>
    <row r="232" spans="17:72" x14ac:dyDescent="0.35">
      <c r="Q232" t="s">
        <v>3260</v>
      </c>
      <c r="R232" t="s">
        <v>299</v>
      </c>
      <c r="AA232" t="s">
        <v>1298</v>
      </c>
      <c r="AB232" t="s">
        <v>538</v>
      </c>
      <c r="AM232" t="s">
        <v>2870</v>
      </c>
      <c r="BT232" s="81" t="s">
        <v>3788</v>
      </c>
    </row>
    <row r="233" spans="17:72" x14ac:dyDescent="0.35">
      <c r="Q233" t="s">
        <v>3261</v>
      </c>
      <c r="R233" t="s">
        <v>300</v>
      </c>
      <c r="AA233" t="s">
        <v>1299</v>
      </c>
      <c r="AB233" t="s">
        <v>539</v>
      </c>
      <c r="AM233" t="s">
        <v>2871</v>
      </c>
      <c r="BT233" s="81" t="s">
        <v>3789</v>
      </c>
    </row>
    <row r="234" spans="17:72" x14ac:dyDescent="0.35">
      <c r="Q234" t="s">
        <v>3124</v>
      </c>
      <c r="R234" t="s">
        <v>301</v>
      </c>
      <c r="AA234" t="s">
        <v>1300</v>
      </c>
      <c r="AB234" t="s">
        <v>540</v>
      </c>
      <c r="AM234" t="s">
        <v>2872</v>
      </c>
      <c r="BT234" s="81" t="s">
        <v>3790</v>
      </c>
    </row>
    <row r="235" spans="17:72" x14ac:dyDescent="0.35">
      <c r="Q235" t="s">
        <v>3216</v>
      </c>
      <c r="R235" t="s">
        <v>302</v>
      </c>
      <c r="AA235" t="s">
        <v>1301</v>
      </c>
      <c r="AB235" t="s">
        <v>541</v>
      </c>
      <c r="AM235" t="s">
        <v>2038</v>
      </c>
      <c r="BT235" s="81" t="s">
        <v>3791</v>
      </c>
    </row>
    <row r="236" spans="17:72" x14ac:dyDescent="0.35">
      <c r="Q236" t="s">
        <v>3263</v>
      </c>
      <c r="R236" t="s">
        <v>303</v>
      </c>
      <c r="AA236" t="s">
        <v>1302</v>
      </c>
      <c r="AB236" t="s">
        <v>544</v>
      </c>
      <c r="AM236" t="s">
        <v>2873</v>
      </c>
      <c r="BT236" s="81" t="s">
        <v>3792</v>
      </c>
    </row>
    <row r="237" spans="17:72" x14ac:dyDescent="0.35">
      <c r="Q237" t="s">
        <v>3265</v>
      </c>
      <c r="R237" t="s">
        <v>304</v>
      </c>
      <c r="AA237" t="s">
        <v>1303</v>
      </c>
      <c r="AB237" t="s">
        <v>542</v>
      </c>
      <c r="AM237" t="s">
        <v>2874</v>
      </c>
      <c r="BT237" s="81" t="s">
        <v>3793</v>
      </c>
    </row>
    <row r="238" spans="17:72" x14ac:dyDescent="0.35">
      <c r="Q238" t="s">
        <v>3266</v>
      </c>
      <c r="R238" t="s">
        <v>305</v>
      </c>
      <c r="AA238" t="s">
        <v>1304</v>
      </c>
      <c r="AB238" t="s">
        <v>543</v>
      </c>
      <c r="AM238" t="s">
        <v>2875</v>
      </c>
      <c r="BT238" s="81" t="s">
        <v>3794</v>
      </c>
    </row>
    <row r="239" spans="17:72" x14ac:dyDescent="0.35">
      <c r="Q239" t="s">
        <v>3264</v>
      </c>
      <c r="R239" t="s">
        <v>313</v>
      </c>
      <c r="AA239" t="s">
        <v>1305</v>
      </c>
      <c r="AB239" t="s">
        <v>545</v>
      </c>
      <c r="AM239" t="s">
        <v>2876</v>
      </c>
      <c r="BT239" s="81" t="s">
        <v>3795</v>
      </c>
    </row>
    <row r="240" spans="17:72" x14ac:dyDescent="0.35">
      <c r="Q240" t="s">
        <v>3262</v>
      </c>
      <c r="R240" t="s">
        <v>306</v>
      </c>
      <c r="AA240" t="s">
        <v>1306</v>
      </c>
      <c r="AB240" t="s">
        <v>546</v>
      </c>
      <c r="AM240" t="s">
        <v>2877</v>
      </c>
      <c r="BT240" s="81" t="s">
        <v>3796</v>
      </c>
    </row>
    <row r="241" spans="17:72" x14ac:dyDescent="0.35">
      <c r="Q241" t="s">
        <v>3267</v>
      </c>
      <c r="R241" t="s">
        <v>307</v>
      </c>
      <c r="AA241" t="s">
        <v>1307</v>
      </c>
      <c r="AB241" t="s">
        <v>547</v>
      </c>
      <c r="AM241" t="s">
        <v>2878</v>
      </c>
      <c r="BT241" s="81" t="s">
        <v>3797</v>
      </c>
    </row>
    <row r="242" spans="17:72" x14ac:dyDescent="0.35">
      <c r="Q242" t="s">
        <v>3217</v>
      </c>
      <c r="R242" t="s">
        <v>308</v>
      </c>
      <c r="AA242" t="s">
        <v>1308</v>
      </c>
      <c r="AB242" t="s">
        <v>548</v>
      </c>
      <c r="AM242" t="s">
        <v>2879</v>
      </c>
      <c r="BT242" s="81" t="s">
        <v>3798</v>
      </c>
    </row>
    <row r="243" spans="17:72" x14ac:dyDescent="0.35">
      <c r="Q243" t="s">
        <v>3269</v>
      </c>
      <c r="R243" t="s">
        <v>309</v>
      </c>
      <c r="AA243" t="s">
        <v>1309</v>
      </c>
      <c r="AB243" t="s">
        <v>549</v>
      </c>
      <c r="AM243" t="s">
        <v>2880</v>
      </c>
      <c r="BT243" s="81" t="s">
        <v>3799</v>
      </c>
    </row>
    <row r="244" spans="17:72" x14ac:dyDescent="0.35">
      <c r="Q244" t="s">
        <v>3169</v>
      </c>
      <c r="R244" t="s">
        <v>310</v>
      </c>
      <c r="AA244" t="s">
        <v>1310</v>
      </c>
      <c r="AB244" t="s">
        <v>550</v>
      </c>
      <c r="AM244" t="s">
        <v>2881</v>
      </c>
      <c r="BT244" s="81" t="s">
        <v>3800</v>
      </c>
    </row>
    <row r="245" spans="17:72" x14ac:dyDescent="0.35">
      <c r="Q245" t="s">
        <v>3230</v>
      </c>
      <c r="R245" t="s">
        <v>311</v>
      </c>
      <c r="AA245" t="s">
        <v>1311</v>
      </c>
      <c r="AB245" t="s">
        <v>551</v>
      </c>
      <c r="AM245" t="s">
        <v>2882</v>
      </c>
      <c r="BT245" s="81" t="s">
        <v>3801</v>
      </c>
    </row>
    <row r="246" spans="17:72" x14ac:dyDescent="0.35">
      <c r="Q246" t="s">
        <v>3270</v>
      </c>
      <c r="AA246" t="s">
        <v>1312</v>
      </c>
      <c r="AB246" t="s">
        <v>552</v>
      </c>
      <c r="AM246" t="s">
        <v>2883</v>
      </c>
      <c r="BT246" s="81" t="s">
        <v>3802</v>
      </c>
    </row>
    <row r="247" spans="17:72" x14ac:dyDescent="0.35">
      <c r="Q247" t="s">
        <v>3271</v>
      </c>
      <c r="AA247" t="s">
        <v>1313</v>
      </c>
      <c r="AB247" t="s">
        <v>553</v>
      </c>
      <c r="AM247" t="s">
        <v>2884</v>
      </c>
      <c r="BT247" s="81" t="s">
        <v>3803</v>
      </c>
    </row>
    <row r="248" spans="17:72" x14ac:dyDescent="0.35">
      <c r="AA248" t="s">
        <v>1314</v>
      </c>
      <c r="AB248" t="s">
        <v>554</v>
      </c>
      <c r="AM248" t="s">
        <v>2885</v>
      </c>
      <c r="BT248" s="81" t="s">
        <v>3804</v>
      </c>
    </row>
    <row r="249" spans="17:72" x14ac:dyDescent="0.35">
      <c r="AA249" t="s">
        <v>1315</v>
      </c>
      <c r="AB249" t="s">
        <v>555</v>
      </c>
      <c r="AM249" t="s">
        <v>2886</v>
      </c>
      <c r="BT249" s="81" t="s">
        <v>3805</v>
      </c>
    </row>
    <row r="250" spans="17:72" x14ac:dyDescent="0.35">
      <c r="AA250" t="s">
        <v>1316</v>
      </c>
      <c r="AB250" t="s">
        <v>827</v>
      </c>
      <c r="AM250" t="s">
        <v>2887</v>
      </c>
      <c r="BT250" s="81" t="s">
        <v>3806</v>
      </c>
    </row>
    <row r="251" spans="17:72" x14ac:dyDescent="0.35">
      <c r="AA251" t="s">
        <v>1317</v>
      </c>
      <c r="AB251" t="s">
        <v>561</v>
      </c>
      <c r="AM251" t="s">
        <v>2888</v>
      </c>
      <c r="BT251" s="81" t="s">
        <v>3807</v>
      </c>
    </row>
    <row r="252" spans="17:72" x14ac:dyDescent="0.35">
      <c r="AA252" t="s">
        <v>1318</v>
      </c>
      <c r="AB252" t="s">
        <v>556</v>
      </c>
      <c r="AM252" t="s">
        <v>2889</v>
      </c>
      <c r="BT252" s="81" t="s">
        <v>3808</v>
      </c>
    </row>
    <row r="253" spans="17:72" x14ac:dyDescent="0.35">
      <c r="AA253" t="s">
        <v>1319</v>
      </c>
      <c r="AB253" t="s">
        <v>557</v>
      </c>
      <c r="AM253" t="s">
        <v>2890</v>
      </c>
      <c r="BT253" s="81" t="s">
        <v>3809</v>
      </c>
    </row>
    <row r="254" spans="17:72" x14ac:dyDescent="0.35">
      <c r="AA254" t="s">
        <v>1320</v>
      </c>
      <c r="AB254" t="s">
        <v>558</v>
      </c>
      <c r="AM254" t="s">
        <v>2891</v>
      </c>
      <c r="BT254" s="81" t="s">
        <v>3810</v>
      </c>
    </row>
    <row r="255" spans="17:72" x14ac:dyDescent="0.35">
      <c r="AA255" t="s">
        <v>1321</v>
      </c>
      <c r="AB255" t="s">
        <v>559</v>
      </c>
      <c r="AM255" t="s">
        <v>2892</v>
      </c>
      <c r="BT255" s="81" t="s">
        <v>3811</v>
      </c>
    </row>
    <row r="256" spans="17:72" x14ac:dyDescent="0.35">
      <c r="AA256" t="s">
        <v>1322</v>
      </c>
      <c r="AB256" t="s">
        <v>560</v>
      </c>
      <c r="AM256" t="s">
        <v>2893</v>
      </c>
      <c r="BT256" s="81" t="s">
        <v>3812</v>
      </c>
    </row>
    <row r="257" spans="27:72" x14ac:dyDescent="0.35">
      <c r="AA257" t="s">
        <v>1323</v>
      </c>
      <c r="AB257" t="s">
        <v>562</v>
      </c>
      <c r="AM257" t="s">
        <v>2894</v>
      </c>
      <c r="BT257" s="81" t="s">
        <v>3813</v>
      </c>
    </row>
    <row r="258" spans="27:72" x14ac:dyDescent="0.35">
      <c r="AA258" t="s">
        <v>1324</v>
      </c>
      <c r="AB258" t="s">
        <v>563</v>
      </c>
      <c r="AM258" t="s">
        <v>2895</v>
      </c>
      <c r="BT258" s="81" t="s">
        <v>3814</v>
      </c>
    </row>
    <row r="259" spans="27:72" x14ac:dyDescent="0.35">
      <c r="AA259" t="s">
        <v>1325</v>
      </c>
      <c r="AB259" t="s">
        <v>564</v>
      </c>
      <c r="AM259" t="s">
        <v>2896</v>
      </c>
      <c r="BT259" s="81" t="s">
        <v>3815</v>
      </c>
    </row>
    <row r="260" spans="27:72" x14ac:dyDescent="0.35">
      <c r="AA260" t="s">
        <v>1326</v>
      </c>
      <c r="AB260" t="s">
        <v>565</v>
      </c>
      <c r="AM260" t="s">
        <v>2897</v>
      </c>
      <c r="BT260" s="81" t="s">
        <v>3816</v>
      </c>
    </row>
    <row r="261" spans="27:72" x14ac:dyDescent="0.35">
      <c r="AA261" t="s">
        <v>1327</v>
      </c>
      <c r="AB261" t="s">
        <v>566</v>
      </c>
      <c r="AM261" t="s">
        <v>2898</v>
      </c>
      <c r="BT261" s="81" t="s">
        <v>3817</v>
      </c>
    </row>
    <row r="262" spans="27:72" x14ac:dyDescent="0.35">
      <c r="AA262" t="s">
        <v>1328</v>
      </c>
      <c r="AB262" t="s">
        <v>567</v>
      </c>
      <c r="AM262" t="s">
        <v>2899</v>
      </c>
      <c r="BT262" s="81" t="s">
        <v>3818</v>
      </c>
    </row>
    <row r="263" spans="27:72" x14ac:dyDescent="0.35">
      <c r="AA263" t="s">
        <v>1329</v>
      </c>
      <c r="AB263" t="s">
        <v>569</v>
      </c>
      <c r="AM263" t="s">
        <v>2900</v>
      </c>
      <c r="BT263" s="81" t="s">
        <v>3819</v>
      </c>
    </row>
    <row r="264" spans="27:72" x14ac:dyDescent="0.35">
      <c r="AA264" t="s">
        <v>1330</v>
      </c>
      <c r="AB264" t="s">
        <v>568</v>
      </c>
      <c r="AM264" t="s">
        <v>2901</v>
      </c>
      <c r="BT264" s="81" t="s">
        <v>3820</v>
      </c>
    </row>
    <row r="265" spans="27:72" x14ac:dyDescent="0.35">
      <c r="AA265" t="s">
        <v>1331</v>
      </c>
      <c r="AB265" t="s">
        <v>570</v>
      </c>
      <c r="AM265" t="s">
        <v>2902</v>
      </c>
      <c r="BT265" s="81" t="s">
        <v>3821</v>
      </c>
    </row>
    <row r="266" spans="27:72" x14ac:dyDescent="0.35">
      <c r="AA266" t="s">
        <v>1332</v>
      </c>
      <c r="AB266" t="s">
        <v>571</v>
      </c>
      <c r="AM266" t="s">
        <v>2903</v>
      </c>
      <c r="BT266" s="81" t="s">
        <v>3822</v>
      </c>
    </row>
    <row r="267" spans="27:72" x14ac:dyDescent="0.35">
      <c r="AA267" t="s">
        <v>1333</v>
      </c>
      <c r="AB267" t="s">
        <v>572</v>
      </c>
      <c r="AM267" t="s">
        <v>2904</v>
      </c>
      <c r="BT267" s="81" t="s">
        <v>3823</v>
      </c>
    </row>
    <row r="268" spans="27:72" x14ac:dyDescent="0.35">
      <c r="AA268" t="s">
        <v>1334</v>
      </c>
      <c r="AB268" t="s">
        <v>573</v>
      </c>
      <c r="AM268" t="s">
        <v>2905</v>
      </c>
      <c r="BT268" s="81" t="s">
        <v>3824</v>
      </c>
    </row>
    <row r="269" spans="27:72" x14ac:dyDescent="0.35">
      <c r="AA269" t="s">
        <v>1335</v>
      </c>
      <c r="AB269" t="s">
        <v>574</v>
      </c>
      <c r="AM269" t="s">
        <v>2906</v>
      </c>
      <c r="BT269" s="81" t="s">
        <v>3825</v>
      </c>
    </row>
    <row r="270" spans="27:72" x14ac:dyDescent="0.35">
      <c r="AA270" t="s">
        <v>1336</v>
      </c>
      <c r="AB270" t="s">
        <v>577</v>
      </c>
      <c r="AM270" t="s">
        <v>2907</v>
      </c>
      <c r="BT270" s="81" t="s">
        <v>3826</v>
      </c>
    </row>
    <row r="271" spans="27:72" x14ac:dyDescent="0.35">
      <c r="AA271" t="s">
        <v>1337</v>
      </c>
      <c r="AB271" t="s">
        <v>575</v>
      </c>
      <c r="AM271" t="s">
        <v>2908</v>
      </c>
      <c r="BT271" s="81" t="s">
        <v>3827</v>
      </c>
    </row>
    <row r="272" spans="27:72" x14ac:dyDescent="0.35">
      <c r="AA272" t="s">
        <v>1338</v>
      </c>
      <c r="AB272" t="s">
        <v>576</v>
      </c>
      <c r="AM272" t="s">
        <v>2909</v>
      </c>
      <c r="BT272" s="81" t="s">
        <v>3828</v>
      </c>
    </row>
    <row r="273" spans="27:72" x14ac:dyDescent="0.35">
      <c r="AA273" t="s">
        <v>1339</v>
      </c>
      <c r="AB273" t="s">
        <v>578</v>
      </c>
      <c r="AM273" t="s">
        <v>2910</v>
      </c>
      <c r="BT273" s="81" t="s">
        <v>3829</v>
      </c>
    </row>
    <row r="274" spans="27:72" x14ac:dyDescent="0.35">
      <c r="AA274" t="s">
        <v>1340</v>
      </c>
      <c r="AB274" t="s">
        <v>579</v>
      </c>
      <c r="AM274" t="s">
        <v>2911</v>
      </c>
      <c r="BT274" s="81" t="s">
        <v>3830</v>
      </c>
    </row>
    <row r="275" spans="27:72" x14ac:dyDescent="0.35">
      <c r="AA275" t="s">
        <v>1341</v>
      </c>
      <c r="AB275" t="s">
        <v>349</v>
      </c>
      <c r="AM275" t="s">
        <v>2912</v>
      </c>
      <c r="BT275" s="81" t="s">
        <v>3831</v>
      </c>
    </row>
    <row r="276" spans="27:72" x14ac:dyDescent="0.35">
      <c r="AA276" t="s">
        <v>1342</v>
      </c>
      <c r="AB276" t="s">
        <v>350</v>
      </c>
      <c r="AM276" t="s">
        <v>2913</v>
      </c>
      <c r="BT276" s="81" t="s">
        <v>3832</v>
      </c>
    </row>
    <row r="277" spans="27:72" x14ac:dyDescent="0.35">
      <c r="AA277" t="s">
        <v>1343</v>
      </c>
      <c r="AB277" t="s">
        <v>351</v>
      </c>
      <c r="AM277" t="s">
        <v>2914</v>
      </c>
      <c r="BT277" s="81" t="s">
        <v>3833</v>
      </c>
    </row>
    <row r="278" spans="27:72" x14ac:dyDescent="0.35">
      <c r="AA278" t="s">
        <v>1344</v>
      </c>
      <c r="AB278" t="s">
        <v>352</v>
      </c>
      <c r="AM278" t="s">
        <v>2915</v>
      </c>
      <c r="BT278" s="81" t="s">
        <v>3834</v>
      </c>
    </row>
    <row r="279" spans="27:72" x14ac:dyDescent="0.35">
      <c r="AA279" t="s">
        <v>1345</v>
      </c>
      <c r="AB279" t="s">
        <v>353</v>
      </c>
      <c r="AM279" t="s">
        <v>2916</v>
      </c>
      <c r="BT279" s="81" t="s">
        <v>3835</v>
      </c>
    </row>
    <row r="280" spans="27:72" x14ac:dyDescent="0.35">
      <c r="AA280" t="s">
        <v>1346</v>
      </c>
      <c r="AB280" t="s">
        <v>354</v>
      </c>
      <c r="AM280" t="s">
        <v>2917</v>
      </c>
      <c r="BT280" s="81" t="s">
        <v>3836</v>
      </c>
    </row>
    <row r="281" spans="27:72" x14ac:dyDescent="0.35">
      <c r="AA281" t="s">
        <v>1347</v>
      </c>
      <c r="AB281" t="s">
        <v>828</v>
      </c>
      <c r="AM281" t="s">
        <v>2918</v>
      </c>
      <c r="BT281" s="81" t="s">
        <v>3837</v>
      </c>
    </row>
    <row r="282" spans="27:72" x14ac:dyDescent="0.35">
      <c r="AA282" t="s">
        <v>1348</v>
      </c>
      <c r="AB282" t="s">
        <v>357</v>
      </c>
      <c r="AM282" t="s">
        <v>2919</v>
      </c>
      <c r="BT282" s="81" t="s">
        <v>3838</v>
      </c>
    </row>
    <row r="283" spans="27:72" x14ac:dyDescent="0.35">
      <c r="AA283" t="s">
        <v>1349</v>
      </c>
      <c r="AB283" t="s">
        <v>355</v>
      </c>
      <c r="AM283" t="s">
        <v>2920</v>
      </c>
      <c r="BT283" s="81" t="s">
        <v>3839</v>
      </c>
    </row>
    <row r="284" spans="27:72" x14ac:dyDescent="0.35">
      <c r="AA284" t="s">
        <v>1350</v>
      </c>
      <c r="AB284" t="s">
        <v>356</v>
      </c>
      <c r="AM284" t="s">
        <v>2921</v>
      </c>
      <c r="BT284" s="81" t="s">
        <v>3840</v>
      </c>
    </row>
    <row r="285" spans="27:72" x14ac:dyDescent="0.35">
      <c r="AA285" t="s">
        <v>1351</v>
      </c>
      <c r="AB285" t="s">
        <v>358</v>
      </c>
      <c r="AM285" t="s">
        <v>2922</v>
      </c>
      <c r="BT285" s="81" t="s">
        <v>3841</v>
      </c>
    </row>
    <row r="286" spans="27:72" x14ac:dyDescent="0.35">
      <c r="AA286" t="s">
        <v>1352</v>
      </c>
      <c r="AB286" t="s">
        <v>359</v>
      </c>
      <c r="AM286" t="s">
        <v>2923</v>
      </c>
      <c r="BT286" s="81" t="s">
        <v>3842</v>
      </c>
    </row>
    <row r="287" spans="27:72" x14ac:dyDescent="0.35">
      <c r="AA287" t="s">
        <v>1353</v>
      </c>
      <c r="AB287" t="s">
        <v>360</v>
      </c>
      <c r="AM287" t="s">
        <v>2924</v>
      </c>
      <c r="BT287" s="81" t="s">
        <v>3843</v>
      </c>
    </row>
    <row r="288" spans="27:72" x14ac:dyDescent="0.35">
      <c r="AA288" t="s">
        <v>1354</v>
      </c>
      <c r="AB288" t="s">
        <v>361</v>
      </c>
      <c r="AM288" t="s">
        <v>2925</v>
      </c>
      <c r="BT288" s="81" t="s">
        <v>3844</v>
      </c>
    </row>
    <row r="289" spans="27:72" x14ac:dyDescent="0.35">
      <c r="AA289" t="s">
        <v>1355</v>
      </c>
      <c r="AB289" t="s">
        <v>362</v>
      </c>
      <c r="AM289" t="s">
        <v>2926</v>
      </c>
      <c r="BT289" s="81" t="s">
        <v>3845</v>
      </c>
    </row>
    <row r="290" spans="27:72" x14ac:dyDescent="0.35">
      <c r="AA290" t="s">
        <v>1356</v>
      </c>
      <c r="AB290" t="s">
        <v>363</v>
      </c>
      <c r="AM290" t="s">
        <v>2927</v>
      </c>
      <c r="BT290" s="81" t="s">
        <v>3846</v>
      </c>
    </row>
    <row r="291" spans="27:72" x14ac:dyDescent="0.35">
      <c r="AA291" t="s">
        <v>1357</v>
      </c>
      <c r="AB291" t="s">
        <v>364</v>
      </c>
      <c r="AM291" t="s">
        <v>2928</v>
      </c>
      <c r="BT291" s="81" t="s">
        <v>3847</v>
      </c>
    </row>
    <row r="292" spans="27:72" x14ac:dyDescent="0.35">
      <c r="AA292" t="s">
        <v>1358</v>
      </c>
      <c r="AB292" t="s">
        <v>365</v>
      </c>
      <c r="AM292" t="s">
        <v>2929</v>
      </c>
      <c r="BT292" s="81" t="s">
        <v>3848</v>
      </c>
    </row>
    <row r="293" spans="27:72" x14ac:dyDescent="0.35">
      <c r="AA293" t="s">
        <v>1359</v>
      </c>
      <c r="AB293" t="s">
        <v>366</v>
      </c>
      <c r="AM293" t="s">
        <v>2930</v>
      </c>
      <c r="BT293" s="81" t="s">
        <v>3849</v>
      </c>
    </row>
    <row r="294" spans="27:72" x14ac:dyDescent="0.35">
      <c r="AA294" t="s">
        <v>1360</v>
      </c>
      <c r="AB294" t="s">
        <v>367</v>
      </c>
      <c r="AM294" t="s">
        <v>2931</v>
      </c>
      <c r="BT294" s="81" t="s">
        <v>3850</v>
      </c>
    </row>
    <row r="295" spans="27:72" x14ac:dyDescent="0.35">
      <c r="AA295" t="s">
        <v>1361</v>
      </c>
      <c r="AB295" t="s">
        <v>368</v>
      </c>
      <c r="AM295" t="s">
        <v>2932</v>
      </c>
      <c r="BT295" s="81" t="s">
        <v>3851</v>
      </c>
    </row>
    <row r="296" spans="27:72" x14ac:dyDescent="0.35">
      <c r="AA296" t="s">
        <v>1362</v>
      </c>
      <c r="AB296" t="s">
        <v>371</v>
      </c>
      <c r="AM296" t="s">
        <v>2933</v>
      </c>
      <c r="BT296" s="81" t="s">
        <v>3852</v>
      </c>
    </row>
    <row r="297" spans="27:72" x14ac:dyDescent="0.35">
      <c r="AA297" t="s">
        <v>1363</v>
      </c>
      <c r="AB297" t="s">
        <v>369</v>
      </c>
      <c r="AM297" t="s">
        <v>2934</v>
      </c>
      <c r="BT297" s="81" t="s">
        <v>3853</v>
      </c>
    </row>
    <row r="298" spans="27:72" x14ac:dyDescent="0.35">
      <c r="AA298" t="s">
        <v>1364</v>
      </c>
      <c r="AB298" t="s">
        <v>370</v>
      </c>
      <c r="AM298" t="s">
        <v>2935</v>
      </c>
      <c r="BT298" s="81" t="s">
        <v>3854</v>
      </c>
    </row>
    <row r="299" spans="27:72" x14ac:dyDescent="0.35">
      <c r="AA299" t="s">
        <v>1365</v>
      </c>
      <c r="AB299" t="s">
        <v>372</v>
      </c>
      <c r="AM299" t="s">
        <v>2936</v>
      </c>
      <c r="BT299" s="81" t="s">
        <v>3855</v>
      </c>
    </row>
    <row r="300" spans="27:72" x14ac:dyDescent="0.35">
      <c r="AA300" t="s">
        <v>1366</v>
      </c>
      <c r="AB300" t="s">
        <v>373</v>
      </c>
      <c r="AM300" t="s">
        <v>2937</v>
      </c>
      <c r="BT300" s="81" t="s">
        <v>3856</v>
      </c>
    </row>
    <row r="301" spans="27:72" x14ac:dyDescent="0.35">
      <c r="AA301" t="s">
        <v>1367</v>
      </c>
      <c r="AB301" t="s">
        <v>374</v>
      </c>
      <c r="AM301" t="s">
        <v>2938</v>
      </c>
      <c r="BT301" s="81" t="s">
        <v>3857</v>
      </c>
    </row>
    <row r="302" spans="27:72" x14ac:dyDescent="0.35">
      <c r="AA302" t="s">
        <v>1368</v>
      </c>
      <c r="AB302" t="s">
        <v>375</v>
      </c>
      <c r="AM302" t="s">
        <v>3035</v>
      </c>
      <c r="BT302" s="81" t="s">
        <v>3858</v>
      </c>
    </row>
    <row r="303" spans="27:72" x14ac:dyDescent="0.35">
      <c r="AA303" t="s">
        <v>1369</v>
      </c>
      <c r="AB303" t="s">
        <v>376</v>
      </c>
      <c r="AM303" t="s">
        <v>2939</v>
      </c>
      <c r="BT303" s="81" t="s">
        <v>3859</v>
      </c>
    </row>
    <row r="304" spans="27:72" x14ac:dyDescent="0.35">
      <c r="AA304" t="s">
        <v>1370</v>
      </c>
      <c r="AB304" t="s">
        <v>377</v>
      </c>
      <c r="AM304" t="s">
        <v>2940</v>
      </c>
      <c r="BT304" s="81" t="s">
        <v>3860</v>
      </c>
    </row>
    <row r="305" spans="27:72" x14ac:dyDescent="0.35">
      <c r="AA305" t="s">
        <v>1371</v>
      </c>
      <c r="AB305" t="s">
        <v>378</v>
      </c>
      <c r="AM305" t="s">
        <v>2940</v>
      </c>
      <c r="BT305" s="81" t="s">
        <v>3861</v>
      </c>
    </row>
    <row r="306" spans="27:72" x14ac:dyDescent="0.35">
      <c r="AA306" t="s">
        <v>1372</v>
      </c>
      <c r="AB306" t="s">
        <v>379</v>
      </c>
      <c r="AM306" t="s">
        <v>2941</v>
      </c>
      <c r="BT306" s="81" t="s">
        <v>3862</v>
      </c>
    </row>
    <row r="307" spans="27:72" x14ac:dyDescent="0.35">
      <c r="AA307" t="s">
        <v>1373</v>
      </c>
      <c r="AB307" t="s">
        <v>380</v>
      </c>
      <c r="AM307" t="s">
        <v>2941</v>
      </c>
      <c r="BT307" s="81" t="s">
        <v>3863</v>
      </c>
    </row>
    <row r="308" spans="27:72" x14ac:dyDescent="0.35">
      <c r="AA308" t="s">
        <v>1374</v>
      </c>
      <c r="AB308" t="s">
        <v>580</v>
      </c>
      <c r="AM308" t="s">
        <v>2942</v>
      </c>
      <c r="BT308" s="81" t="s">
        <v>3864</v>
      </c>
    </row>
    <row r="309" spans="27:72" x14ac:dyDescent="0.35">
      <c r="AA309" t="s">
        <v>1375</v>
      </c>
      <c r="AB309" t="s">
        <v>829</v>
      </c>
      <c r="AM309" t="s">
        <v>2943</v>
      </c>
      <c r="BT309" s="81" t="s">
        <v>3865</v>
      </c>
    </row>
    <row r="310" spans="27:72" x14ac:dyDescent="0.35">
      <c r="AA310" t="s">
        <v>1376</v>
      </c>
      <c r="AB310" t="s">
        <v>830</v>
      </c>
      <c r="AM310" t="s">
        <v>2944</v>
      </c>
      <c r="BT310" s="81" t="s">
        <v>3866</v>
      </c>
    </row>
    <row r="311" spans="27:72" x14ac:dyDescent="0.35">
      <c r="AA311" t="s">
        <v>1377</v>
      </c>
      <c r="AB311" t="s">
        <v>583</v>
      </c>
      <c r="AM311" t="s">
        <v>2945</v>
      </c>
      <c r="BT311" s="81" t="s">
        <v>3867</v>
      </c>
    </row>
    <row r="312" spans="27:72" x14ac:dyDescent="0.35">
      <c r="AA312" t="s">
        <v>1378</v>
      </c>
      <c r="AB312" t="s">
        <v>581</v>
      </c>
      <c r="AM312" t="s">
        <v>2946</v>
      </c>
      <c r="BT312" s="81" t="s">
        <v>3868</v>
      </c>
    </row>
    <row r="313" spans="27:72" x14ac:dyDescent="0.35">
      <c r="AA313" t="s">
        <v>1379</v>
      </c>
      <c r="AB313" t="s">
        <v>582</v>
      </c>
      <c r="AM313" t="s">
        <v>2947</v>
      </c>
      <c r="BT313" s="81" t="s">
        <v>3869</v>
      </c>
    </row>
    <row r="314" spans="27:72" x14ac:dyDescent="0.35">
      <c r="AA314" t="s">
        <v>1380</v>
      </c>
      <c r="AB314" t="s">
        <v>584</v>
      </c>
      <c r="AM314" t="s">
        <v>2948</v>
      </c>
      <c r="BT314" s="81" t="s">
        <v>3870</v>
      </c>
    </row>
    <row r="315" spans="27:72" x14ac:dyDescent="0.35">
      <c r="AA315" t="s">
        <v>1381</v>
      </c>
      <c r="AB315" t="s">
        <v>585</v>
      </c>
      <c r="AM315" t="s">
        <v>2949</v>
      </c>
      <c r="BT315" s="81" t="s">
        <v>3871</v>
      </c>
    </row>
    <row r="316" spans="27:72" x14ac:dyDescent="0.35">
      <c r="AA316" t="s">
        <v>1382</v>
      </c>
      <c r="AB316" t="s">
        <v>586</v>
      </c>
      <c r="AM316" t="s">
        <v>3322</v>
      </c>
      <c r="BT316" s="81" t="s">
        <v>3872</v>
      </c>
    </row>
    <row r="317" spans="27:72" x14ac:dyDescent="0.35">
      <c r="AA317" t="s">
        <v>1383</v>
      </c>
      <c r="AB317" t="s">
        <v>587</v>
      </c>
      <c r="AM317" t="s">
        <v>3323</v>
      </c>
      <c r="BT317" s="81" t="s">
        <v>3873</v>
      </c>
    </row>
    <row r="318" spans="27:72" x14ac:dyDescent="0.35">
      <c r="AA318" t="s">
        <v>1384</v>
      </c>
      <c r="AB318" t="s">
        <v>588</v>
      </c>
      <c r="AM318" t="s">
        <v>3324</v>
      </c>
      <c r="BT318" s="81" t="s">
        <v>3874</v>
      </c>
    </row>
    <row r="319" spans="27:72" x14ac:dyDescent="0.35">
      <c r="AA319" t="s">
        <v>1385</v>
      </c>
      <c r="AB319" t="s">
        <v>589</v>
      </c>
      <c r="AM319" t="s">
        <v>3325</v>
      </c>
      <c r="BT319" s="81" t="s">
        <v>3875</v>
      </c>
    </row>
    <row r="320" spans="27:72" x14ac:dyDescent="0.35">
      <c r="AA320" t="s">
        <v>1386</v>
      </c>
      <c r="AB320" t="s">
        <v>590</v>
      </c>
      <c r="AM320" t="s">
        <v>3326</v>
      </c>
      <c r="BT320" s="81" t="s">
        <v>3876</v>
      </c>
    </row>
    <row r="321" spans="27:72" x14ac:dyDescent="0.35">
      <c r="AA321" t="s">
        <v>1387</v>
      </c>
      <c r="AB321" t="s">
        <v>591</v>
      </c>
      <c r="AM321" t="s">
        <v>3327</v>
      </c>
      <c r="BT321" s="81" t="s">
        <v>3877</v>
      </c>
    </row>
    <row r="322" spans="27:72" x14ac:dyDescent="0.35">
      <c r="AA322" t="s">
        <v>1388</v>
      </c>
      <c r="AB322" t="s">
        <v>592</v>
      </c>
      <c r="AM322" t="s">
        <v>3328</v>
      </c>
      <c r="BT322" s="81" t="s">
        <v>3878</v>
      </c>
    </row>
    <row r="323" spans="27:72" x14ac:dyDescent="0.35">
      <c r="AA323" t="s">
        <v>1389</v>
      </c>
      <c r="AB323" t="s">
        <v>593</v>
      </c>
      <c r="AM323" t="s">
        <v>3329</v>
      </c>
      <c r="BT323" s="81" t="s">
        <v>3879</v>
      </c>
    </row>
    <row r="324" spans="27:72" x14ac:dyDescent="0.35">
      <c r="AA324" t="s">
        <v>1390</v>
      </c>
      <c r="AB324" t="s">
        <v>594</v>
      </c>
      <c r="AM324" t="s">
        <v>3330</v>
      </c>
    </row>
    <row r="325" spans="27:72" x14ac:dyDescent="0.35">
      <c r="AA325" t="s">
        <v>1391</v>
      </c>
      <c r="AB325" t="s">
        <v>831</v>
      </c>
      <c r="AM325" t="s">
        <v>3331</v>
      </c>
    </row>
    <row r="326" spans="27:72" x14ac:dyDescent="0.35">
      <c r="AA326" t="s">
        <v>1392</v>
      </c>
      <c r="AB326" t="s">
        <v>599</v>
      </c>
      <c r="AM326" t="s">
        <v>3332</v>
      </c>
    </row>
    <row r="327" spans="27:72" x14ac:dyDescent="0.35">
      <c r="AA327" t="s">
        <v>1393</v>
      </c>
      <c r="AB327" t="s">
        <v>595</v>
      </c>
      <c r="AM327" t="s">
        <v>3333</v>
      </c>
    </row>
    <row r="328" spans="27:72" x14ac:dyDescent="0.35">
      <c r="AA328" t="s">
        <v>1394</v>
      </c>
      <c r="AB328" t="s">
        <v>596</v>
      </c>
      <c r="AM328" t="s">
        <v>3334</v>
      </c>
    </row>
    <row r="329" spans="27:72" x14ac:dyDescent="0.35">
      <c r="AA329" t="s">
        <v>1395</v>
      </c>
      <c r="AB329" t="s">
        <v>597</v>
      </c>
      <c r="AM329" t="s">
        <v>3335</v>
      </c>
    </row>
    <row r="330" spans="27:72" x14ac:dyDescent="0.35">
      <c r="AA330" t="s">
        <v>1396</v>
      </c>
      <c r="AB330" t="s">
        <v>598</v>
      </c>
      <c r="AM330" t="s">
        <v>3336</v>
      </c>
    </row>
    <row r="331" spans="27:72" x14ac:dyDescent="0.35">
      <c r="AA331" t="s">
        <v>1397</v>
      </c>
      <c r="AB331" t="s">
        <v>600</v>
      </c>
      <c r="AM331" t="s">
        <v>3337</v>
      </c>
    </row>
    <row r="332" spans="27:72" x14ac:dyDescent="0.35">
      <c r="AA332" t="s">
        <v>1398</v>
      </c>
      <c r="AB332" t="s">
        <v>601</v>
      </c>
      <c r="AM332" t="s">
        <v>3338</v>
      </c>
    </row>
    <row r="333" spans="27:72" x14ac:dyDescent="0.35">
      <c r="AA333" t="s">
        <v>1399</v>
      </c>
      <c r="AB333" t="s">
        <v>602</v>
      </c>
      <c r="AM333" t="s">
        <v>3339</v>
      </c>
    </row>
    <row r="334" spans="27:72" x14ac:dyDescent="0.35">
      <c r="AA334" t="s">
        <v>1400</v>
      </c>
      <c r="AB334" t="s">
        <v>605</v>
      </c>
      <c r="AM334" t="s">
        <v>3340</v>
      </c>
    </row>
    <row r="335" spans="27:72" x14ac:dyDescent="0.35">
      <c r="AA335" t="s">
        <v>1401</v>
      </c>
      <c r="AB335" t="s">
        <v>606</v>
      </c>
      <c r="AM335" t="s">
        <v>3341</v>
      </c>
    </row>
    <row r="336" spans="27:72" x14ac:dyDescent="0.35">
      <c r="AA336" t="s">
        <v>1402</v>
      </c>
      <c r="AB336" t="s">
        <v>603</v>
      </c>
      <c r="AM336" t="s">
        <v>3342</v>
      </c>
    </row>
    <row r="337" spans="27:39" x14ac:dyDescent="0.35">
      <c r="AA337" t="s">
        <v>1403</v>
      </c>
      <c r="AB337" t="s">
        <v>607</v>
      </c>
      <c r="AM337" t="s">
        <v>3343</v>
      </c>
    </row>
    <row r="338" spans="27:39" x14ac:dyDescent="0.35">
      <c r="AA338" t="s">
        <v>1404</v>
      </c>
      <c r="AB338" t="s">
        <v>604</v>
      </c>
      <c r="AM338" t="s">
        <v>3344</v>
      </c>
    </row>
    <row r="339" spans="27:39" x14ac:dyDescent="0.35">
      <c r="AA339" t="s">
        <v>1405</v>
      </c>
      <c r="AB339" t="s">
        <v>608</v>
      </c>
      <c r="AM339" t="s">
        <v>3345</v>
      </c>
    </row>
    <row r="340" spans="27:39" x14ac:dyDescent="0.35">
      <c r="AA340" t="s">
        <v>1406</v>
      </c>
      <c r="AB340" t="s">
        <v>609</v>
      </c>
      <c r="AM340" t="s">
        <v>3346</v>
      </c>
    </row>
    <row r="341" spans="27:39" x14ac:dyDescent="0.35">
      <c r="AA341" t="s">
        <v>1407</v>
      </c>
      <c r="AB341" t="s">
        <v>610</v>
      </c>
      <c r="AM341" t="s">
        <v>3347</v>
      </c>
    </row>
    <row r="342" spans="27:39" x14ac:dyDescent="0.35">
      <c r="AA342" t="s">
        <v>1408</v>
      </c>
      <c r="AB342" t="s">
        <v>611</v>
      </c>
      <c r="AM342" t="s">
        <v>3348</v>
      </c>
    </row>
    <row r="343" spans="27:39" x14ac:dyDescent="0.35">
      <c r="AA343" t="s">
        <v>1409</v>
      </c>
      <c r="AB343" t="s">
        <v>612</v>
      </c>
      <c r="AM343" t="s">
        <v>3349</v>
      </c>
    </row>
    <row r="344" spans="27:39" x14ac:dyDescent="0.35">
      <c r="AA344" t="s">
        <v>1410</v>
      </c>
      <c r="AB344" t="s">
        <v>614</v>
      </c>
      <c r="AM344" t="s">
        <v>3350</v>
      </c>
    </row>
    <row r="345" spans="27:39" x14ac:dyDescent="0.35">
      <c r="AA345" t="s">
        <v>1411</v>
      </c>
      <c r="AB345" t="s">
        <v>613</v>
      </c>
      <c r="AM345" t="s">
        <v>3351</v>
      </c>
    </row>
    <row r="346" spans="27:39" x14ac:dyDescent="0.35">
      <c r="AA346" t="s">
        <v>1412</v>
      </c>
      <c r="AB346" t="s">
        <v>615</v>
      </c>
      <c r="AM346" t="s">
        <v>3352</v>
      </c>
    </row>
    <row r="347" spans="27:39" x14ac:dyDescent="0.35">
      <c r="AA347" t="s">
        <v>1413</v>
      </c>
      <c r="AB347" t="s">
        <v>616</v>
      </c>
      <c r="AM347" t="s">
        <v>3353</v>
      </c>
    </row>
    <row r="348" spans="27:39" x14ac:dyDescent="0.35">
      <c r="AA348" t="s">
        <v>1414</v>
      </c>
      <c r="AB348" t="s">
        <v>617</v>
      </c>
      <c r="AM348" t="s">
        <v>3354</v>
      </c>
    </row>
    <row r="349" spans="27:39" x14ac:dyDescent="0.35">
      <c r="AA349" t="s">
        <v>1415</v>
      </c>
      <c r="AB349" t="s">
        <v>618</v>
      </c>
      <c r="AM349" t="s">
        <v>3355</v>
      </c>
    </row>
    <row r="350" spans="27:39" x14ac:dyDescent="0.35">
      <c r="AA350" t="s">
        <v>1416</v>
      </c>
      <c r="AB350" t="s">
        <v>619</v>
      </c>
      <c r="AM350" t="s">
        <v>3356</v>
      </c>
    </row>
    <row r="351" spans="27:39" x14ac:dyDescent="0.35">
      <c r="AA351" t="s">
        <v>1417</v>
      </c>
      <c r="AB351" t="s">
        <v>620</v>
      </c>
      <c r="AM351" t="s">
        <v>3357</v>
      </c>
    </row>
    <row r="352" spans="27:39" x14ac:dyDescent="0.35">
      <c r="AA352" t="s">
        <v>1418</v>
      </c>
      <c r="AB352" t="s">
        <v>621</v>
      </c>
      <c r="AM352" t="s">
        <v>3358</v>
      </c>
    </row>
    <row r="353" spans="27:39" x14ac:dyDescent="0.35">
      <c r="AA353" t="s">
        <v>1419</v>
      </c>
      <c r="AB353" t="s">
        <v>622</v>
      </c>
      <c r="AM353" t="s">
        <v>3359</v>
      </c>
    </row>
    <row r="354" spans="27:39" x14ac:dyDescent="0.35">
      <c r="AA354" t="s">
        <v>1420</v>
      </c>
      <c r="AB354" t="s">
        <v>832</v>
      </c>
      <c r="AM354" t="s">
        <v>3360</v>
      </c>
    </row>
    <row r="355" spans="27:39" x14ac:dyDescent="0.35">
      <c r="AA355" t="s">
        <v>1421</v>
      </c>
      <c r="AB355" t="s">
        <v>429</v>
      </c>
      <c r="AM355" t="s">
        <v>3361</v>
      </c>
    </row>
    <row r="356" spans="27:39" x14ac:dyDescent="0.35">
      <c r="AA356" t="s">
        <v>1422</v>
      </c>
      <c r="AB356" t="s">
        <v>623</v>
      </c>
      <c r="AM356" t="s">
        <v>3362</v>
      </c>
    </row>
    <row r="357" spans="27:39" x14ac:dyDescent="0.35">
      <c r="AA357" t="s">
        <v>1423</v>
      </c>
      <c r="AB357" t="s">
        <v>624</v>
      </c>
      <c r="AM357" t="s">
        <v>3363</v>
      </c>
    </row>
    <row r="358" spans="27:39" x14ac:dyDescent="0.35">
      <c r="AA358" t="s">
        <v>1424</v>
      </c>
      <c r="AB358" t="s">
        <v>625</v>
      </c>
      <c r="AM358" t="s">
        <v>3364</v>
      </c>
    </row>
    <row r="359" spans="27:39" x14ac:dyDescent="0.35">
      <c r="AA359" t="s">
        <v>1425</v>
      </c>
      <c r="AB359" t="s">
        <v>626</v>
      </c>
      <c r="AM359" t="s">
        <v>3365</v>
      </c>
    </row>
    <row r="360" spans="27:39" x14ac:dyDescent="0.35">
      <c r="AA360" t="s">
        <v>1426</v>
      </c>
      <c r="AB360" t="s">
        <v>627</v>
      </c>
      <c r="AM360" t="s">
        <v>3366</v>
      </c>
    </row>
    <row r="361" spans="27:39" x14ac:dyDescent="0.35">
      <c r="AA361" t="s">
        <v>1427</v>
      </c>
      <c r="AB361" t="s">
        <v>628</v>
      </c>
      <c r="AM361" t="s">
        <v>3367</v>
      </c>
    </row>
    <row r="362" spans="27:39" x14ac:dyDescent="0.35">
      <c r="AA362" t="s">
        <v>1428</v>
      </c>
      <c r="AB362" t="s">
        <v>629</v>
      </c>
      <c r="AM362" t="s">
        <v>3368</v>
      </c>
    </row>
    <row r="363" spans="27:39" x14ac:dyDescent="0.35">
      <c r="AA363" t="s">
        <v>1429</v>
      </c>
      <c r="AB363" t="s">
        <v>630</v>
      </c>
      <c r="AM363" t="s">
        <v>3369</v>
      </c>
    </row>
    <row r="364" spans="27:39" x14ac:dyDescent="0.35">
      <c r="AA364" t="s">
        <v>1430</v>
      </c>
      <c r="AB364" t="s">
        <v>631</v>
      </c>
      <c r="AM364" t="s">
        <v>3370</v>
      </c>
    </row>
    <row r="365" spans="27:39" x14ac:dyDescent="0.35">
      <c r="AA365" t="s">
        <v>1431</v>
      </c>
      <c r="AB365" t="s">
        <v>632</v>
      </c>
      <c r="AM365" t="s">
        <v>3371</v>
      </c>
    </row>
    <row r="366" spans="27:39" x14ac:dyDescent="0.35">
      <c r="AA366" t="s">
        <v>1432</v>
      </c>
      <c r="AB366" t="s">
        <v>633</v>
      </c>
      <c r="AM366" t="s">
        <v>3372</v>
      </c>
    </row>
    <row r="367" spans="27:39" x14ac:dyDescent="0.35">
      <c r="AA367" t="s">
        <v>1433</v>
      </c>
      <c r="AB367" t="s">
        <v>634</v>
      </c>
      <c r="AM367" t="s">
        <v>3373</v>
      </c>
    </row>
    <row r="368" spans="27:39" x14ac:dyDescent="0.35">
      <c r="AA368" t="s">
        <v>1434</v>
      </c>
      <c r="AB368" t="s">
        <v>635</v>
      </c>
      <c r="AM368" t="s">
        <v>3374</v>
      </c>
    </row>
    <row r="369" spans="27:39" x14ac:dyDescent="0.35">
      <c r="AA369" t="s">
        <v>1435</v>
      </c>
      <c r="AB369" t="s">
        <v>636</v>
      </c>
      <c r="AM369" t="s">
        <v>3375</v>
      </c>
    </row>
    <row r="370" spans="27:39" x14ac:dyDescent="0.35">
      <c r="AA370" t="s">
        <v>1436</v>
      </c>
      <c r="AB370" t="s">
        <v>637</v>
      </c>
      <c r="AM370" t="s">
        <v>3376</v>
      </c>
    </row>
    <row r="371" spans="27:39" x14ac:dyDescent="0.35">
      <c r="AA371" t="s">
        <v>1437</v>
      </c>
      <c r="AB371" t="s">
        <v>638</v>
      </c>
      <c r="AM371" t="s">
        <v>3377</v>
      </c>
    </row>
    <row r="372" spans="27:39" x14ac:dyDescent="0.35">
      <c r="AA372" t="s">
        <v>1438</v>
      </c>
      <c r="AB372" t="s">
        <v>639</v>
      </c>
      <c r="AM372" t="s">
        <v>3378</v>
      </c>
    </row>
    <row r="373" spans="27:39" x14ac:dyDescent="0.35">
      <c r="AA373" t="s">
        <v>1439</v>
      </c>
      <c r="AB373" t="s">
        <v>640</v>
      </c>
      <c r="AM373" t="s">
        <v>3379</v>
      </c>
    </row>
    <row r="374" spans="27:39" x14ac:dyDescent="0.35">
      <c r="AA374" t="s">
        <v>1440</v>
      </c>
      <c r="AB374" t="s">
        <v>641</v>
      </c>
      <c r="AM374" t="s">
        <v>3380</v>
      </c>
    </row>
    <row r="375" spans="27:39" x14ac:dyDescent="0.35">
      <c r="AA375" t="s">
        <v>1441</v>
      </c>
      <c r="AB375" t="s">
        <v>642</v>
      </c>
      <c r="AM375" t="s">
        <v>3381</v>
      </c>
    </row>
    <row r="376" spans="27:39" x14ac:dyDescent="0.35">
      <c r="AA376" t="s">
        <v>1442</v>
      </c>
      <c r="AB376" t="s">
        <v>643</v>
      </c>
      <c r="AM376" t="s">
        <v>3382</v>
      </c>
    </row>
    <row r="377" spans="27:39" x14ac:dyDescent="0.35">
      <c r="AA377" t="s">
        <v>1443</v>
      </c>
      <c r="AB377" t="s">
        <v>644</v>
      </c>
      <c r="AM377" t="s">
        <v>3383</v>
      </c>
    </row>
    <row r="378" spans="27:39" x14ac:dyDescent="0.35">
      <c r="AA378" t="s">
        <v>1444</v>
      </c>
      <c r="AB378" t="s">
        <v>649</v>
      </c>
      <c r="AM378" t="s">
        <v>3384</v>
      </c>
    </row>
    <row r="379" spans="27:39" x14ac:dyDescent="0.35">
      <c r="AA379" t="s">
        <v>1445</v>
      </c>
      <c r="AB379" t="s">
        <v>645</v>
      </c>
      <c r="AM379" t="s">
        <v>3385</v>
      </c>
    </row>
    <row r="380" spans="27:39" x14ac:dyDescent="0.35">
      <c r="AA380" t="s">
        <v>1446</v>
      </c>
      <c r="AB380" t="s">
        <v>646</v>
      </c>
      <c r="AM380" t="s">
        <v>3386</v>
      </c>
    </row>
    <row r="381" spans="27:39" x14ac:dyDescent="0.35">
      <c r="AA381" t="s">
        <v>1447</v>
      </c>
      <c r="AB381" t="s">
        <v>647</v>
      </c>
      <c r="AM381" t="s">
        <v>3387</v>
      </c>
    </row>
    <row r="382" spans="27:39" x14ac:dyDescent="0.35">
      <c r="AA382" t="s">
        <v>1448</v>
      </c>
      <c r="AB382" t="s">
        <v>648</v>
      </c>
      <c r="AM382" t="s">
        <v>3388</v>
      </c>
    </row>
    <row r="383" spans="27:39" x14ac:dyDescent="0.35">
      <c r="AA383" t="s">
        <v>1449</v>
      </c>
      <c r="AB383" t="s">
        <v>650</v>
      </c>
      <c r="AM383" t="s">
        <v>3389</v>
      </c>
    </row>
    <row r="384" spans="27:39" x14ac:dyDescent="0.35">
      <c r="AA384" t="s">
        <v>1450</v>
      </c>
      <c r="AB384" t="s">
        <v>651</v>
      </c>
      <c r="AM384" t="s">
        <v>3390</v>
      </c>
    </row>
    <row r="385" spans="27:39" x14ac:dyDescent="0.35">
      <c r="AA385" t="s">
        <v>1451</v>
      </c>
      <c r="AB385" t="s">
        <v>652</v>
      </c>
      <c r="AM385" t="s">
        <v>3391</v>
      </c>
    </row>
    <row r="386" spans="27:39" x14ac:dyDescent="0.35">
      <c r="AA386" t="s">
        <v>1452</v>
      </c>
      <c r="AB386" t="s">
        <v>653</v>
      </c>
      <c r="AM386" t="s">
        <v>3392</v>
      </c>
    </row>
    <row r="387" spans="27:39" x14ac:dyDescent="0.35">
      <c r="AA387" t="s">
        <v>1453</v>
      </c>
      <c r="AB387" t="s">
        <v>654</v>
      </c>
      <c r="AM387" t="s">
        <v>3393</v>
      </c>
    </row>
    <row r="388" spans="27:39" x14ac:dyDescent="0.35">
      <c r="AA388" t="s">
        <v>1454</v>
      </c>
      <c r="AB388" t="s">
        <v>655</v>
      </c>
      <c r="AM388" t="s">
        <v>3394</v>
      </c>
    </row>
    <row r="389" spans="27:39" x14ac:dyDescent="0.35">
      <c r="AA389" t="s">
        <v>1455</v>
      </c>
      <c r="AB389" t="s">
        <v>656</v>
      </c>
      <c r="AM389" t="s">
        <v>3395</v>
      </c>
    </row>
    <row r="390" spans="27:39" x14ac:dyDescent="0.35">
      <c r="AA390" t="s">
        <v>1456</v>
      </c>
      <c r="AB390" t="s">
        <v>657</v>
      </c>
      <c r="AM390" t="s">
        <v>3396</v>
      </c>
    </row>
    <row r="391" spans="27:39" x14ac:dyDescent="0.35">
      <c r="AA391" t="s">
        <v>1457</v>
      </c>
      <c r="AB391" t="s">
        <v>833</v>
      </c>
      <c r="AM391" t="s">
        <v>3397</v>
      </c>
    </row>
    <row r="392" spans="27:39" x14ac:dyDescent="0.35">
      <c r="AA392" t="s">
        <v>1458</v>
      </c>
      <c r="AB392" t="s">
        <v>834</v>
      </c>
      <c r="AM392" t="s">
        <v>3398</v>
      </c>
    </row>
    <row r="393" spans="27:39" x14ac:dyDescent="0.35">
      <c r="AA393" t="s">
        <v>1459</v>
      </c>
      <c r="AB393" t="s">
        <v>835</v>
      </c>
      <c r="AM393" t="s">
        <v>3399</v>
      </c>
    </row>
    <row r="394" spans="27:39" x14ac:dyDescent="0.35">
      <c r="AA394" t="s">
        <v>1460</v>
      </c>
      <c r="AB394" t="s">
        <v>661</v>
      </c>
      <c r="AM394" t="s">
        <v>3400</v>
      </c>
    </row>
    <row r="395" spans="27:39" x14ac:dyDescent="0.35">
      <c r="AA395" t="s">
        <v>1461</v>
      </c>
      <c r="AB395" t="s">
        <v>658</v>
      </c>
      <c r="AM395" t="s">
        <v>3401</v>
      </c>
    </row>
    <row r="396" spans="27:39" x14ac:dyDescent="0.35">
      <c r="AA396" t="s">
        <v>1462</v>
      </c>
      <c r="AB396" t="s">
        <v>836</v>
      </c>
      <c r="AM396" t="s">
        <v>3402</v>
      </c>
    </row>
    <row r="397" spans="27:39" x14ac:dyDescent="0.35">
      <c r="AA397" t="s">
        <v>1463</v>
      </c>
      <c r="AB397" t="s">
        <v>659</v>
      </c>
      <c r="AM397" t="s">
        <v>3403</v>
      </c>
    </row>
    <row r="398" spans="27:39" x14ac:dyDescent="0.35">
      <c r="AA398" t="s">
        <v>1464</v>
      </c>
      <c r="AB398" t="s">
        <v>660</v>
      </c>
      <c r="AM398" t="s">
        <v>3404</v>
      </c>
    </row>
    <row r="399" spans="27:39" x14ac:dyDescent="0.35">
      <c r="AA399" t="s">
        <v>1465</v>
      </c>
      <c r="AB399" t="s">
        <v>662</v>
      </c>
      <c r="AM399" t="s">
        <v>3405</v>
      </c>
    </row>
    <row r="400" spans="27:39" x14ac:dyDescent="0.35">
      <c r="AA400" t="s">
        <v>1466</v>
      </c>
      <c r="AB400" t="s">
        <v>663</v>
      </c>
      <c r="AM400" t="s">
        <v>3406</v>
      </c>
    </row>
    <row r="401" spans="27:39" x14ac:dyDescent="0.35">
      <c r="AA401" t="s">
        <v>1467</v>
      </c>
      <c r="AB401" t="s">
        <v>664</v>
      </c>
      <c r="AM401" t="s">
        <v>3407</v>
      </c>
    </row>
    <row r="402" spans="27:39" x14ac:dyDescent="0.35">
      <c r="AA402" t="s">
        <v>1468</v>
      </c>
      <c r="AB402" t="s">
        <v>665</v>
      </c>
      <c r="AM402" t="s">
        <v>3408</v>
      </c>
    </row>
    <row r="403" spans="27:39" x14ac:dyDescent="0.35">
      <c r="AA403" t="s">
        <v>1469</v>
      </c>
      <c r="AB403" t="s">
        <v>837</v>
      </c>
      <c r="AM403" t="s">
        <v>3409</v>
      </c>
    </row>
    <row r="404" spans="27:39" x14ac:dyDescent="0.35">
      <c r="AA404" t="s">
        <v>1470</v>
      </c>
      <c r="AB404" t="s">
        <v>667</v>
      </c>
      <c r="AM404" t="s">
        <v>3410</v>
      </c>
    </row>
    <row r="405" spans="27:39" x14ac:dyDescent="0.35">
      <c r="AA405" t="s">
        <v>1471</v>
      </c>
      <c r="AB405" t="s">
        <v>666</v>
      </c>
      <c r="AM405" t="s">
        <v>3411</v>
      </c>
    </row>
    <row r="406" spans="27:39" x14ac:dyDescent="0.35">
      <c r="AA406" t="s">
        <v>1472</v>
      </c>
      <c r="AB406" t="s">
        <v>668</v>
      </c>
      <c r="AM406" t="s">
        <v>3412</v>
      </c>
    </row>
    <row r="407" spans="27:39" x14ac:dyDescent="0.35">
      <c r="AA407" t="s">
        <v>1473</v>
      </c>
      <c r="AB407" t="s">
        <v>669</v>
      </c>
      <c r="AM407" t="s">
        <v>3413</v>
      </c>
    </row>
    <row r="408" spans="27:39" x14ac:dyDescent="0.35">
      <c r="AA408" t="s">
        <v>1474</v>
      </c>
      <c r="AB408" t="s">
        <v>670</v>
      </c>
      <c r="AM408" t="s">
        <v>3414</v>
      </c>
    </row>
    <row r="409" spans="27:39" x14ac:dyDescent="0.35">
      <c r="AA409" t="s">
        <v>1475</v>
      </c>
      <c r="AB409" t="s">
        <v>671</v>
      </c>
      <c r="AM409" t="s">
        <v>3415</v>
      </c>
    </row>
    <row r="410" spans="27:39" x14ac:dyDescent="0.35">
      <c r="AA410" t="s">
        <v>1476</v>
      </c>
      <c r="AB410" t="s">
        <v>673</v>
      </c>
      <c r="AM410" t="s">
        <v>3416</v>
      </c>
    </row>
    <row r="411" spans="27:39" x14ac:dyDescent="0.35">
      <c r="AA411" t="s">
        <v>1477</v>
      </c>
      <c r="AB411" t="s">
        <v>672</v>
      </c>
      <c r="AM411" t="s">
        <v>3417</v>
      </c>
    </row>
    <row r="412" spans="27:39" x14ac:dyDescent="0.35">
      <c r="AA412" t="s">
        <v>1478</v>
      </c>
      <c r="AB412" t="s">
        <v>418</v>
      </c>
      <c r="AM412" t="s">
        <v>3418</v>
      </c>
    </row>
    <row r="413" spans="27:39" x14ac:dyDescent="0.35">
      <c r="AA413" t="s">
        <v>1479</v>
      </c>
      <c r="AB413" t="s">
        <v>419</v>
      </c>
      <c r="AM413" t="s">
        <v>3419</v>
      </c>
    </row>
    <row r="414" spans="27:39" x14ac:dyDescent="0.35">
      <c r="AA414" t="s">
        <v>1480</v>
      </c>
      <c r="AB414" t="s">
        <v>420</v>
      </c>
      <c r="AM414" t="s">
        <v>3420</v>
      </c>
    </row>
    <row r="415" spans="27:39" x14ac:dyDescent="0.35">
      <c r="AA415" t="s">
        <v>1481</v>
      </c>
      <c r="AB415" t="s">
        <v>421</v>
      </c>
      <c r="AM415" t="s">
        <v>3421</v>
      </c>
    </row>
    <row r="416" spans="27:39" x14ac:dyDescent="0.35">
      <c r="AA416" t="s">
        <v>1482</v>
      </c>
      <c r="AB416" t="s">
        <v>422</v>
      </c>
      <c r="AM416" t="s">
        <v>3422</v>
      </c>
    </row>
    <row r="417" spans="27:39" x14ac:dyDescent="0.35">
      <c r="AA417" t="s">
        <v>1483</v>
      </c>
      <c r="AB417" t="s">
        <v>423</v>
      </c>
      <c r="AM417" t="s">
        <v>3423</v>
      </c>
    </row>
    <row r="418" spans="27:39" x14ac:dyDescent="0.35">
      <c r="AA418" t="s">
        <v>1484</v>
      </c>
      <c r="AB418" t="s">
        <v>424</v>
      </c>
      <c r="AM418" t="s">
        <v>3424</v>
      </c>
    </row>
    <row r="419" spans="27:39" x14ac:dyDescent="0.35">
      <c r="AA419" t="s">
        <v>1485</v>
      </c>
      <c r="AB419" t="s">
        <v>425</v>
      </c>
      <c r="AM419" t="s">
        <v>3425</v>
      </c>
    </row>
    <row r="420" spans="27:39" x14ac:dyDescent="0.35">
      <c r="AA420" t="s">
        <v>1486</v>
      </c>
      <c r="AB420" t="s">
        <v>426</v>
      </c>
      <c r="AM420" t="s">
        <v>3426</v>
      </c>
    </row>
    <row r="421" spans="27:39" x14ac:dyDescent="0.35">
      <c r="AA421" t="s">
        <v>1487</v>
      </c>
      <c r="AB421" t="s">
        <v>838</v>
      </c>
      <c r="AM421" t="s">
        <v>3427</v>
      </c>
    </row>
    <row r="422" spans="27:39" x14ac:dyDescent="0.35">
      <c r="AA422" t="s">
        <v>1488</v>
      </c>
      <c r="AB422" t="s">
        <v>839</v>
      </c>
      <c r="AM422" t="s">
        <v>3428</v>
      </c>
    </row>
    <row r="423" spans="27:39" x14ac:dyDescent="0.35">
      <c r="AA423" t="s">
        <v>1489</v>
      </c>
      <c r="AB423" t="s">
        <v>429</v>
      </c>
      <c r="AM423" t="s">
        <v>3429</v>
      </c>
    </row>
    <row r="424" spans="27:39" x14ac:dyDescent="0.35">
      <c r="AA424" t="s">
        <v>1490</v>
      </c>
      <c r="AB424" t="s">
        <v>427</v>
      </c>
      <c r="AM424" t="s">
        <v>3430</v>
      </c>
    </row>
    <row r="425" spans="27:39" x14ac:dyDescent="0.35">
      <c r="AA425" t="s">
        <v>1491</v>
      </c>
      <c r="AB425" t="s">
        <v>428</v>
      </c>
      <c r="AM425" t="s">
        <v>3431</v>
      </c>
    </row>
    <row r="426" spans="27:39" x14ac:dyDescent="0.35">
      <c r="AA426" t="s">
        <v>1492</v>
      </c>
      <c r="AB426" t="s">
        <v>430</v>
      </c>
      <c r="AM426" t="s">
        <v>3432</v>
      </c>
    </row>
    <row r="427" spans="27:39" x14ac:dyDescent="0.35">
      <c r="AA427" t="s">
        <v>1493</v>
      </c>
      <c r="AB427" t="s">
        <v>431</v>
      </c>
      <c r="AM427" t="s">
        <v>3433</v>
      </c>
    </row>
    <row r="428" spans="27:39" x14ac:dyDescent="0.35">
      <c r="AA428" t="s">
        <v>1494</v>
      </c>
      <c r="AB428" t="s">
        <v>432</v>
      </c>
      <c r="AM428" t="s">
        <v>3434</v>
      </c>
    </row>
    <row r="429" spans="27:39" x14ac:dyDescent="0.35">
      <c r="AA429" t="s">
        <v>1495</v>
      </c>
      <c r="AB429" t="s">
        <v>433</v>
      </c>
      <c r="AM429" t="s">
        <v>3435</v>
      </c>
    </row>
    <row r="430" spans="27:39" x14ac:dyDescent="0.35">
      <c r="AA430" t="s">
        <v>1496</v>
      </c>
      <c r="AB430" t="s">
        <v>434</v>
      </c>
      <c r="AM430" t="s">
        <v>3436</v>
      </c>
    </row>
    <row r="431" spans="27:39" x14ac:dyDescent="0.35">
      <c r="AA431" t="s">
        <v>1497</v>
      </c>
      <c r="AB431" t="s">
        <v>435</v>
      </c>
      <c r="AM431" t="s">
        <v>3437</v>
      </c>
    </row>
    <row r="432" spans="27:39" x14ac:dyDescent="0.35">
      <c r="AA432" t="s">
        <v>1498</v>
      </c>
      <c r="AB432" t="s">
        <v>436</v>
      </c>
      <c r="AM432" t="s">
        <v>3438</v>
      </c>
    </row>
    <row r="433" spans="27:39" x14ac:dyDescent="0.35">
      <c r="AA433" t="s">
        <v>1499</v>
      </c>
      <c r="AB433" t="s">
        <v>439</v>
      </c>
      <c r="AM433" t="s">
        <v>3439</v>
      </c>
    </row>
    <row r="434" spans="27:39" x14ac:dyDescent="0.35">
      <c r="AA434" t="s">
        <v>1500</v>
      </c>
      <c r="AB434" t="s">
        <v>437</v>
      </c>
      <c r="AM434" t="s">
        <v>3440</v>
      </c>
    </row>
    <row r="435" spans="27:39" x14ac:dyDescent="0.35">
      <c r="AA435" t="s">
        <v>1501</v>
      </c>
      <c r="AB435" t="s">
        <v>438</v>
      </c>
      <c r="AM435" t="s">
        <v>3441</v>
      </c>
    </row>
    <row r="436" spans="27:39" x14ac:dyDescent="0.35">
      <c r="AA436" t="s">
        <v>1502</v>
      </c>
      <c r="AB436" t="s">
        <v>440</v>
      </c>
      <c r="AM436" t="s">
        <v>3442</v>
      </c>
    </row>
    <row r="437" spans="27:39" x14ac:dyDescent="0.35">
      <c r="AA437" t="s">
        <v>1503</v>
      </c>
      <c r="AB437" t="s">
        <v>441</v>
      </c>
      <c r="AM437" t="s">
        <v>3443</v>
      </c>
    </row>
    <row r="438" spans="27:39" x14ac:dyDescent="0.35">
      <c r="AA438" t="s">
        <v>1504</v>
      </c>
      <c r="AB438" t="s">
        <v>442</v>
      </c>
      <c r="AM438" t="s">
        <v>3444</v>
      </c>
    </row>
    <row r="439" spans="27:39" x14ac:dyDescent="0.35">
      <c r="AA439" t="s">
        <v>1505</v>
      </c>
      <c r="AB439" t="s">
        <v>443</v>
      </c>
      <c r="AM439" t="s">
        <v>3445</v>
      </c>
    </row>
    <row r="440" spans="27:39" x14ac:dyDescent="0.35">
      <c r="AA440" t="s">
        <v>1506</v>
      </c>
      <c r="AB440" t="s">
        <v>444</v>
      </c>
      <c r="AM440" t="s">
        <v>3446</v>
      </c>
    </row>
    <row r="441" spans="27:39" x14ac:dyDescent="0.35">
      <c r="AA441" t="s">
        <v>1507</v>
      </c>
      <c r="AB441" t="s">
        <v>445</v>
      </c>
      <c r="AM441" t="s">
        <v>3447</v>
      </c>
    </row>
    <row r="442" spans="27:39" x14ac:dyDescent="0.35">
      <c r="AA442" t="s">
        <v>1508</v>
      </c>
      <c r="AB442" t="s">
        <v>446</v>
      </c>
      <c r="AM442" t="s">
        <v>3448</v>
      </c>
    </row>
    <row r="443" spans="27:39" x14ac:dyDescent="0.35">
      <c r="AA443" t="s">
        <v>1509</v>
      </c>
      <c r="AB443" t="s">
        <v>447</v>
      </c>
      <c r="AM443" t="s">
        <v>3449</v>
      </c>
    </row>
    <row r="444" spans="27:39" x14ac:dyDescent="0.35">
      <c r="AA444" t="s">
        <v>1510</v>
      </c>
      <c r="AB444" t="s">
        <v>449</v>
      </c>
      <c r="AM444" t="s">
        <v>3450</v>
      </c>
    </row>
    <row r="445" spans="27:39" x14ac:dyDescent="0.35">
      <c r="AA445" t="s">
        <v>1511</v>
      </c>
      <c r="AB445" t="s">
        <v>448</v>
      </c>
      <c r="AM445" t="s">
        <v>3451</v>
      </c>
    </row>
    <row r="446" spans="27:39" x14ac:dyDescent="0.35">
      <c r="AA446" t="s">
        <v>1512</v>
      </c>
      <c r="AB446" t="s">
        <v>450</v>
      </c>
      <c r="AM446" t="s">
        <v>3452</v>
      </c>
    </row>
    <row r="447" spans="27:39" x14ac:dyDescent="0.35">
      <c r="AA447" t="s">
        <v>1513</v>
      </c>
      <c r="AB447" t="s">
        <v>451</v>
      </c>
      <c r="AM447" t="s">
        <v>3453</v>
      </c>
    </row>
    <row r="448" spans="27:39" x14ac:dyDescent="0.35">
      <c r="AA448" t="s">
        <v>1514</v>
      </c>
      <c r="AB448" t="s">
        <v>452</v>
      </c>
      <c r="AM448" t="s">
        <v>3454</v>
      </c>
    </row>
    <row r="449" spans="27:39" x14ac:dyDescent="0.35">
      <c r="AA449" t="s">
        <v>1515</v>
      </c>
      <c r="AB449" t="s">
        <v>453</v>
      </c>
      <c r="AM449" t="s">
        <v>3455</v>
      </c>
    </row>
    <row r="450" spans="27:39" x14ac:dyDescent="0.35">
      <c r="AA450" t="s">
        <v>1516</v>
      </c>
      <c r="AB450" t="s">
        <v>454</v>
      </c>
      <c r="AM450" t="s">
        <v>3456</v>
      </c>
    </row>
    <row r="451" spans="27:39" x14ac:dyDescent="0.35">
      <c r="AA451" t="s">
        <v>1517</v>
      </c>
      <c r="AB451" t="s">
        <v>455</v>
      </c>
      <c r="AM451" t="s">
        <v>3457</v>
      </c>
    </row>
    <row r="452" spans="27:39" x14ac:dyDescent="0.35">
      <c r="AA452" t="s">
        <v>1518</v>
      </c>
      <c r="AB452" t="s">
        <v>456</v>
      </c>
      <c r="AM452" t="s">
        <v>3458</v>
      </c>
    </row>
    <row r="453" spans="27:39" x14ac:dyDescent="0.35">
      <c r="AA453" t="s">
        <v>1519</v>
      </c>
      <c r="AB453" t="s">
        <v>457</v>
      </c>
      <c r="AM453" t="s">
        <v>3459</v>
      </c>
    </row>
    <row r="454" spans="27:39" x14ac:dyDescent="0.35">
      <c r="AA454" t="s">
        <v>1520</v>
      </c>
      <c r="AB454" t="s">
        <v>458</v>
      </c>
      <c r="AM454" t="s">
        <v>3460</v>
      </c>
    </row>
    <row r="455" spans="27:39" x14ac:dyDescent="0.35">
      <c r="AA455" t="s">
        <v>1521</v>
      </c>
      <c r="AB455" t="s">
        <v>459</v>
      </c>
      <c r="AM455" t="s">
        <v>3461</v>
      </c>
    </row>
    <row r="456" spans="27:39" x14ac:dyDescent="0.35">
      <c r="AA456" t="s">
        <v>1522</v>
      </c>
      <c r="AB456" t="s">
        <v>460</v>
      </c>
      <c r="AM456" t="s">
        <v>3462</v>
      </c>
    </row>
    <row r="457" spans="27:39" x14ac:dyDescent="0.35">
      <c r="AA457" t="s">
        <v>1523</v>
      </c>
      <c r="AB457" t="s">
        <v>461</v>
      </c>
      <c r="AM457" t="s">
        <v>3463</v>
      </c>
    </row>
    <row r="458" spans="27:39" x14ac:dyDescent="0.35">
      <c r="AA458" t="s">
        <v>1524</v>
      </c>
      <c r="AB458" t="s">
        <v>462</v>
      </c>
      <c r="AM458" t="s">
        <v>3464</v>
      </c>
    </row>
    <row r="459" spans="27:39" x14ac:dyDescent="0.35">
      <c r="AA459" t="s">
        <v>1525</v>
      </c>
      <c r="AB459" t="s">
        <v>463</v>
      </c>
      <c r="AM459" t="s">
        <v>3465</v>
      </c>
    </row>
    <row r="460" spans="27:39" x14ac:dyDescent="0.35">
      <c r="AA460" t="s">
        <v>1526</v>
      </c>
      <c r="AB460" t="s">
        <v>464</v>
      </c>
      <c r="AM460" t="s">
        <v>3466</v>
      </c>
    </row>
    <row r="461" spans="27:39" x14ac:dyDescent="0.35">
      <c r="AA461" t="s">
        <v>1527</v>
      </c>
      <c r="AB461" t="s">
        <v>840</v>
      </c>
      <c r="AM461" t="s">
        <v>3467</v>
      </c>
    </row>
    <row r="462" spans="27:39" x14ac:dyDescent="0.35">
      <c r="AA462" t="s">
        <v>1528</v>
      </c>
      <c r="AB462" t="s">
        <v>841</v>
      </c>
      <c r="AM462" t="s">
        <v>3468</v>
      </c>
    </row>
    <row r="463" spans="27:39" x14ac:dyDescent="0.35">
      <c r="AA463" t="s">
        <v>1529</v>
      </c>
      <c r="AB463" t="s">
        <v>842</v>
      </c>
      <c r="AM463" t="s">
        <v>3468</v>
      </c>
    </row>
    <row r="464" spans="27:39" x14ac:dyDescent="0.35">
      <c r="AA464" t="s">
        <v>1530</v>
      </c>
      <c r="AB464" t="s">
        <v>843</v>
      </c>
      <c r="AM464" t="s">
        <v>3469</v>
      </c>
    </row>
    <row r="465" spans="27:39" x14ac:dyDescent="0.35">
      <c r="AA465" t="s">
        <v>1531</v>
      </c>
      <c r="AB465" t="s">
        <v>466</v>
      </c>
      <c r="AM465" t="s">
        <v>3470</v>
      </c>
    </row>
    <row r="466" spans="27:39" x14ac:dyDescent="0.35">
      <c r="AA466" t="s">
        <v>1532</v>
      </c>
      <c r="AB466" t="s">
        <v>465</v>
      </c>
      <c r="AM466" t="s">
        <v>3471</v>
      </c>
    </row>
    <row r="467" spans="27:39" x14ac:dyDescent="0.35">
      <c r="AA467" t="s">
        <v>1533</v>
      </c>
      <c r="AB467" t="s">
        <v>467</v>
      </c>
      <c r="AM467" t="s">
        <v>3472</v>
      </c>
    </row>
    <row r="468" spans="27:39" x14ac:dyDescent="0.35">
      <c r="AA468" t="s">
        <v>1534</v>
      </c>
      <c r="AB468" t="s">
        <v>468</v>
      </c>
      <c r="AM468" t="s">
        <v>3473</v>
      </c>
    </row>
    <row r="469" spans="27:39" x14ac:dyDescent="0.35">
      <c r="AA469" t="s">
        <v>1535</v>
      </c>
      <c r="AB469" t="s">
        <v>469</v>
      </c>
      <c r="AM469" t="s">
        <v>3474</v>
      </c>
    </row>
    <row r="470" spans="27:39" x14ac:dyDescent="0.35">
      <c r="AA470" t="s">
        <v>1536</v>
      </c>
      <c r="AB470" t="s">
        <v>470</v>
      </c>
      <c r="AM470" t="s">
        <v>3475</v>
      </c>
    </row>
    <row r="471" spans="27:39" x14ac:dyDescent="0.35">
      <c r="AA471" t="s">
        <v>1537</v>
      </c>
      <c r="AB471" t="s">
        <v>471</v>
      </c>
      <c r="AM471" t="s">
        <v>3476</v>
      </c>
    </row>
    <row r="472" spans="27:39" x14ac:dyDescent="0.35">
      <c r="AA472" t="s">
        <v>1538</v>
      </c>
      <c r="AB472" t="s">
        <v>472</v>
      </c>
      <c r="AM472" t="s">
        <v>3477</v>
      </c>
    </row>
    <row r="473" spans="27:39" x14ac:dyDescent="0.35">
      <c r="AA473" t="s">
        <v>1539</v>
      </c>
      <c r="AB473" t="s">
        <v>473</v>
      </c>
      <c r="AM473" t="s">
        <v>3478</v>
      </c>
    </row>
    <row r="474" spans="27:39" x14ac:dyDescent="0.35">
      <c r="AA474" t="s">
        <v>1540</v>
      </c>
      <c r="AB474" t="s">
        <v>475</v>
      </c>
      <c r="AM474" t="s">
        <v>3479</v>
      </c>
    </row>
    <row r="475" spans="27:39" x14ac:dyDescent="0.35">
      <c r="AA475" t="s">
        <v>1541</v>
      </c>
      <c r="AB475" t="s">
        <v>474</v>
      </c>
      <c r="AM475" t="s">
        <v>3480</v>
      </c>
    </row>
    <row r="476" spans="27:39" x14ac:dyDescent="0.35">
      <c r="AA476" t="s">
        <v>1542</v>
      </c>
      <c r="AB476" t="s">
        <v>844</v>
      </c>
      <c r="AM476" t="s">
        <v>3481</v>
      </c>
    </row>
    <row r="477" spans="27:39" x14ac:dyDescent="0.35">
      <c r="AA477" t="s">
        <v>1543</v>
      </c>
      <c r="AB477" t="s">
        <v>476</v>
      </c>
      <c r="AM477" t="s">
        <v>3482</v>
      </c>
    </row>
    <row r="478" spans="27:39" x14ac:dyDescent="0.35">
      <c r="AA478" t="s">
        <v>1544</v>
      </c>
      <c r="AB478" t="s">
        <v>477</v>
      </c>
      <c r="AM478" t="s">
        <v>3483</v>
      </c>
    </row>
    <row r="479" spans="27:39" x14ac:dyDescent="0.35">
      <c r="AA479" t="s">
        <v>1545</v>
      </c>
      <c r="AB479" t="s">
        <v>478</v>
      </c>
      <c r="AM479" t="s">
        <v>3484</v>
      </c>
    </row>
    <row r="480" spans="27:39" x14ac:dyDescent="0.35">
      <c r="AA480" t="s">
        <v>1546</v>
      </c>
      <c r="AB480" t="s">
        <v>479</v>
      </c>
      <c r="AM480" t="s">
        <v>3485</v>
      </c>
    </row>
    <row r="481" spans="27:39" x14ac:dyDescent="0.35">
      <c r="AA481" t="s">
        <v>1547</v>
      </c>
      <c r="AB481" t="s">
        <v>480</v>
      </c>
      <c r="AM481" t="s">
        <v>3486</v>
      </c>
    </row>
    <row r="482" spans="27:39" x14ac:dyDescent="0.35">
      <c r="AA482" t="s">
        <v>1548</v>
      </c>
      <c r="AB482" t="s">
        <v>481</v>
      </c>
      <c r="AM482" t="s">
        <v>3487</v>
      </c>
    </row>
    <row r="483" spans="27:39" x14ac:dyDescent="0.35">
      <c r="AA483" t="s">
        <v>1549</v>
      </c>
      <c r="AB483" t="s">
        <v>482</v>
      </c>
      <c r="AM483" t="s">
        <v>3488</v>
      </c>
    </row>
    <row r="484" spans="27:39" x14ac:dyDescent="0.35">
      <c r="AA484" t="s">
        <v>1550</v>
      </c>
      <c r="AB484" t="s">
        <v>483</v>
      </c>
      <c r="AM484" t="s">
        <v>3489</v>
      </c>
    </row>
    <row r="485" spans="27:39" x14ac:dyDescent="0.35">
      <c r="AA485" t="s">
        <v>1551</v>
      </c>
      <c r="AB485" t="s">
        <v>484</v>
      </c>
      <c r="AM485" t="s">
        <v>3490</v>
      </c>
    </row>
    <row r="486" spans="27:39" x14ac:dyDescent="0.35">
      <c r="AA486" t="s">
        <v>1552</v>
      </c>
      <c r="AB486" t="s">
        <v>485</v>
      </c>
      <c r="AM486" t="s">
        <v>3491</v>
      </c>
    </row>
    <row r="487" spans="27:39" x14ac:dyDescent="0.35">
      <c r="AA487" t="s">
        <v>1553</v>
      </c>
      <c r="AB487" t="s">
        <v>486</v>
      </c>
      <c r="AM487" t="s">
        <v>3492</v>
      </c>
    </row>
    <row r="488" spans="27:39" x14ac:dyDescent="0.35">
      <c r="AA488" t="s">
        <v>1554</v>
      </c>
      <c r="AB488" t="s">
        <v>487</v>
      </c>
      <c r="AM488" t="s">
        <v>3493</v>
      </c>
    </row>
    <row r="489" spans="27:39" x14ac:dyDescent="0.35">
      <c r="AA489" t="s">
        <v>1555</v>
      </c>
      <c r="AB489" t="s">
        <v>488</v>
      </c>
      <c r="AM489" t="s">
        <v>3494</v>
      </c>
    </row>
    <row r="490" spans="27:39" x14ac:dyDescent="0.35">
      <c r="AA490" t="s">
        <v>1556</v>
      </c>
      <c r="AB490" t="s">
        <v>489</v>
      </c>
      <c r="AM490" t="s">
        <v>3495</v>
      </c>
    </row>
    <row r="491" spans="27:39" x14ac:dyDescent="0.35">
      <c r="AA491" t="s">
        <v>1557</v>
      </c>
      <c r="AB491" t="s">
        <v>490</v>
      </c>
      <c r="AM491" t="s">
        <v>3496</v>
      </c>
    </row>
    <row r="492" spans="27:39" x14ac:dyDescent="0.35">
      <c r="AA492" t="s">
        <v>1558</v>
      </c>
      <c r="AB492" t="s">
        <v>491</v>
      </c>
      <c r="AM492" t="s">
        <v>3497</v>
      </c>
    </row>
    <row r="493" spans="27:39" x14ac:dyDescent="0.35">
      <c r="AA493" t="s">
        <v>1559</v>
      </c>
      <c r="AB493" t="s">
        <v>492</v>
      </c>
      <c r="AM493" t="s">
        <v>3498</v>
      </c>
    </row>
    <row r="494" spans="27:39" x14ac:dyDescent="0.35">
      <c r="AA494" t="s">
        <v>1560</v>
      </c>
      <c r="AB494" t="s">
        <v>493</v>
      </c>
      <c r="AM494" t="s">
        <v>3499</v>
      </c>
    </row>
    <row r="495" spans="27:39" x14ac:dyDescent="0.35">
      <c r="AA495" t="s">
        <v>1561</v>
      </c>
      <c r="AB495" t="s">
        <v>494</v>
      </c>
      <c r="AM495" t="s">
        <v>3500</v>
      </c>
    </row>
    <row r="496" spans="27:39" x14ac:dyDescent="0.35">
      <c r="AA496" t="s">
        <v>1562</v>
      </c>
      <c r="AB496" t="s">
        <v>845</v>
      </c>
      <c r="AM496" t="s">
        <v>3501</v>
      </c>
    </row>
    <row r="497" spans="27:39" x14ac:dyDescent="0.35">
      <c r="AA497" t="s">
        <v>1563</v>
      </c>
      <c r="AB497" t="s">
        <v>846</v>
      </c>
      <c r="AM497" t="s">
        <v>3502</v>
      </c>
    </row>
    <row r="498" spans="27:39" x14ac:dyDescent="0.35">
      <c r="AA498" t="s">
        <v>1564</v>
      </c>
      <c r="AB498" t="s">
        <v>847</v>
      </c>
      <c r="AM498" t="s">
        <v>3503</v>
      </c>
    </row>
    <row r="499" spans="27:39" x14ac:dyDescent="0.35">
      <c r="AA499" t="s">
        <v>1565</v>
      </c>
      <c r="AB499" t="s">
        <v>848</v>
      </c>
      <c r="AM499" t="s">
        <v>3504</v>
      </c>
    </row>
    <row r="500" spans="27:39" x14ac:dyDescent="0.35">
      <c r="AA500" t="s">
        <v>1566</v>
      </c>
      <c r="AB500" t="s">
        <v>849</v>
      </c>
      <c r="AM500" t="s">
        <v>3505</v>
      </c>
    </row>
    <row r="501" spans="27:39" x14ac:dyDescent="0.35">
      <c r="AA501" t="s">
        <v>1567</v>
      </c>
      <c r="AB501" t="s">
        <v>850</v>
      </c>
      <c r="AM501" t="s">
        <v>3506</v>
      </c>
    </row>
    <row r="502" spans="27:39" x14ac:dyDescent="0.35">
      <c r="AA502" t="s">
        <v>1568</v>
      </c>
      <c r="AB502" t="s">
        <v>851</v>
      </c>
      <c r="AM502" t="s">
        <v>3507</v>
      </c>
    </row>
    <row r="503" spans="27:39" x14ac:dyDescent="0.35">
      <c r="AA503" t="s">
        <v>1569</v>
      </c>
      <c r="AB503" t="s">
        <v>496</v>
      </c>
      <c r="AM503" t="s">
        <v>3508</v>
      </c>
    </row>
    <row r="504" spans="27:39" x14ac:dyDescent="0.35">
      <c r="AA504" t="s">
        <v>1570</v>
      </c>
      <c r="AB504" t="s">
        <v>495</v>
      </c>
      <c r="AM504" t="s">
        <v>3509</v>
      </c>
    </row>
    <row r="505" spans="27:39" x14ac:dyDescent="0.35">
      <c r="AA505" t="s">
        <v>1571</v>
      </c>
      <c r="AB505" t="s">
        <v>497</v>
      </c>
      <c r="AM505" t="s">
        <v>3510</v>
      </c>
    </row>
    <row r="506" spans="27:39" x14ac:dyDescent="0.35">
      <c r="AA506" t="s">
        <v>1572</v>
      </c>
      <c r="AB506" t="s">
        <v>498</v>
      </c>
      <c r="AM506" t="s">
        <v>3511</v>
      </c>
    </row>
    <row r="507" spans="27:39" x14ac:dyDescent="0.35">
      <c r="AA507" t="s">
        <v>1573</v>
      </c>
      <c r="AB507" t="s">
        <v>499</v>
      </c>
      <c r="AM507" t="s">
        <v>3512</v>
      </c>
    </row>
    <row r="508" spans="27:39" x14ac:dyDescent="0.35">
      <c r="AA508" t="s">
        <v>1574</v>
      </c>
      <c r="AB508" t="s">
        <v>500</v>
      </c>
      <c r="AM508" t="s">
        <v>3513</v>
      </c>
    </row>
    <row r="509" spans="27:39" x14ac:dyDescent="0.35">
      <c r="AA509" t="s">
        <v>1575</v>
      </c>
      <c r="AB509" t="s">
        <v>501</v>
      </c>
      <c r="AM509" t="s">
        <v>3514</v>
      </c>
    </row>
    <row r="510" spans="27:39" x14ac:dyDescent="0.35">
      <c r="AA510" t="s">
        <v>1576</v>
      </c>
      <c r="AB510" t="s">
        <v>502</v>
      </c>
      <c r="AM510" t="s">
        <v>3515</v>
      </c>
    </row>
    <row r="511" spans="27:39" x14ac:dyDescent="0.35">
      <c r="AA511" t="s">
        <v>1577</v>
      </c>
      <c r="AB511" t="s">
        <v>503</v>
      </c>
      <c r="AM511" t="s">
        <v>3516</v>
      </c>
    </row>
    <row r="512" spans="27:39" x14ac:dyDescent="0.35">
      <c r="AA512" t="s">
        <v>1578</v>
      </c>
      <c r="AB512" t="s">
        <v>506</v>
      </c>
      <c r="AM512" t="s">
        <v>3517</v>
      </c>
    </row>
    <row r="513" spans="27:39" x14ac:dyDescent="0.35">
      <c r="AA513" t="s">
        <v>1579</v>
      </c>
      <c r="AB513" t="s">
        <v>504</v>
      </c>
      <c r="AM513" t="s">
        <v>3518</v>
      </c>
    </row>
    <row r="514" spans="27:39" x14ac:dyDescent="0.35">
      <c r="AA514" t="s">
        <v>1580</v>
      </c>
      <c r="AB514" t="s">
        <v>505</v>
      </c>
      <c r="AM514" t="s">
        <v>3519</v>
      </c>
    </row>
    <row r="515" spans="27:39" x14ac:dyDescent="0.35">
      <c r="AA515" t="s">
        <v>1581</v>
      </c>
      <c r="AB515" t="s">
        <v>507</v>
      </c>
      <c r="AM515" t="s">
        <v>3520</v>
      </c>
    </row>
    <row r="516" spans="27:39" x14ac:dyDescent="0.35">
      <c r="AA516" t="s">
        <v>1582</v>
      </c>
      <c r="AB516" t="s">
        <v>508</v>
      </c>
      <c r="AM516" t="s">
        <v>3521</v>
      </c>
    </row>
    <row r="517" spans="27:39" x14ac:dyDescent="0.35">
      <c r="AA517" t="s">
        <v>1583</v>
      </c>
      <c r="AB517" t="s">
        <v>509</v>
      </c>
      <c r="AM517" t="s">
        <v>3522</v>
      </c>
    </row>
    <row r="518" spans="27:39" x14ac:dyDescent="0.35">
      <c r="AA518" t="s">
        <v>1584</v>
      </c>
      <c r="AB518" t="s">
        <v>510</v>
      </c>
      <c r="AM518" t="s">
        <v>3523</v>
      </c>
    </row>
    <row r="519" spans="27:39" x14ac:dyDescent="0.35">
      <c r="AA519" t="s">
        <v>1585</v>
      </c>
      <c r="AB519" t="s">
        <v>511</v>
      </c>
      <c r="AM519" t="s">
        <v>3524</v>
      </c>
    </row>
    <row r="520" spans="27:39" x14ac:dyDescent="0.35">
      <c r="AA520" t="s">
        <v>1586</v>
      </c>
      <c r="AB520" t="s">
        <v>512</v>
      </c>
      <c r="AM520" t="s">
        <v>3525</v>
      </c>
    </row>
    <row r="521" spans="27:39" x14ac:dyDescent="0.35">
      <c r="AA521" t="s">
        <v>1587</v>
      </c>
      <c r="AB521" t="s">
        <v>513</v>
      </c>
      <c r="AM521" t="s">
        <v>3526</v>
      </c>
    </row>
    <row r="522" spans="27:39" x14ac:dyDescent="0.35">
      <c r="AA522" t="s">
        <v>1588</v>
      </c>
      <c r="AB522" t="s">
        <v>514</v>
      </c>
      <c r="AM522" t="s">
        <v>3527</v>
      </c>
    </row>
    <row r="523" spans="27:39" x14ac:dyDescent="0.35">
      <c r="AA523" t="s">
        <v>1589</v>
      </c>
      <c r="AB523" t="s">
        <v>515</v>
      </c>
      <c r="AM523" t="s">
        <v>3528</v>
      </c>
    </row>
    <row r="524" spans="27:39" x14ac:dyDescent="0.35">
      <c r="AA524" t="s">
        <v>1590</v>
      </c>
      <c r="AB524" t="s">
        <v>517</v>
      </c>
      <c r="AM524" t="s">
        <v>3529</v>
      </c>
    </row>
    <row r="525" spans="27:39" x14ac:dyDescent="0.35">
      <c r="AA525" t="s">
        <v>1591</v>
      </c>
      <c r="AB525" t="s">
        <v>516</v>
      </c>
      <c r="AM525" t="s">
        <v>3530</v>
      </c>
    </row>
    <row r="526" spans="27:39" x14ac:dyDescent="0.35">
      <c r="AA526" t="s">
        <v>1067</v>
      </c>
      <c r="AM526" t="s">
        <v>3531</v>
      </c>
    </row>
    <row r="527" spans="27:39" x14ac:dyDescent="0.35">
      <c r="AM527" t="s">
        <v>3532</v>
      </c>
    </row>
    <row r="528" spans="27:39" x14ac:dyDescent="0.35">
      <c r="AM528" t="s">
        <v>3533</v>
      </c>
    </row>
    <row r="529" spans="39:39" x14ac:dyDescent="0.35">
      <c r="AM529" t="s">
        <v>3534</v>
      </c>
    </row>
    <row r="530" spans="39:39" x14ac:dyDescent="0.35">
      <c r="AM530" t="s">
        <v>3535</v>
      </c>
    </row>
    <row r="531" spans="39:39" x14ac:dyDescent="0.35">
      <c r="AM531" t="s">
        <v>3536</v>
      </c>
    </row>
    <row r="532" spans="39:39" x14ac:dyDescent="0.35">
      <c r="AM532" t="s">
        <v>3537</v>
      </c>
    </row>
    <row r="533" spans="39:39" x14ac:dyDescent="0.35">
      <c r="AM533" t="s">
        <v>3538</v>
      </c>
    </row>
    <row r="534" spans="39:39" x14ac:dyDescent="0.35">
      <c r="AM534" t="s">
        <v>3539</v>
      </c>
    </row>
    <row r="535" spans="39:39" x14ac:dyDescent="0.35">
      <c r="AM535" t="s">
        <v>3540</v>
      </c>
    </row>
    <row r="536" spans="39:39" x14ac:dyDescent="0.35">
      <c r="AM536" t="s">
        <v>3541</v>
      </c>
    </row>
    <row r="537" spans="39:39" x14ac:dyDescent="0.35">
      <c r="AM537" t="s">
        <v>3542</v>
      </c>
    </row>
    <row r="538" spans="39:39" x14ac:dyDescent="0.35">
      <c r="AM538" t="s">
        <v>3543</v>
      </c>
    </row>
    <row r="539" spans="39:39" x14ac:dyDescent="0.35">
      <c r="AM539" t="s">
        <v>3544</v>
      </c>
    </row>
    <row r="540" spans="39:39" x14ac:dyDescent="0.35">
      <c r="AM540" t="s">
        <v>3545</v>
      </c>
    </row>
    <row r="541" spans="39:39" x14ac:dyDescent="0.35">
      <c r="AM541" t="s">
        <v>3546</v>
      </c>
    </row>
    <row r="542" spans="39:39" x14ac:dyDescent="0.35">
      <c r="AM542" t="s">
        <v>3547</v>
      </c>
    </row>
    <row r="543" spans="39:39" x14ac:dyDescent="0.35">
      <c r="AM543" t="s">
        <v>3548</v>
      </c>
    </row>
    <row r="544" spans="39:39" x14ac:dyDescent="0.35">
      <c r="AM544" t="s">
        <v>3549</v>
      </c>
    </row>
    <row r="545" spans="39:39" x14ac:dyDescent="0.35">
      <c r="AM545" t="s">
        <v>3550</v>
      </c>
    </row>
    <row r="546" spans="39:39" x14ac:dyDescent="0.35">
      <c r="AM546" t="s">
        <v>3551</v>
      </c>
    </row>
    <row r="547" spans="39:39" x14ac:dyDescent="0.35">
      <c r="AM547" t="s">
        <v>3552</v>
      </c>
    </row>
    <row r="548" spans="39:39" x14ac:dyDescent="0.35">
      <c r="AM548" t="s">
        <v>3553</v>
      </c>
    </row>
    <row r="549" spans="39:39" x14ac:dyDescent="0.35">
      <c r="AM549" t="s">
        <v>3554</v>
      </c>
    </row>
    <row r="550" spans="39:39" x14ac:dyDescent="0.35">
      <c r="AM550" t="s">
        <v>3555</v>
      </c>
    </row>
    <row r="551" spans="39:39" x14ac:dyDescent="0.35">
      <c r="AM551" t="s">
        <v>3556</v>
      </c>
    </row>
    <row r="552" spans="39:39" x14ac:dyDescent="0.35">
      <c r="AM552" t="s">
        <v>3557</v>
      </c>
    </row>
    <row r="553" spans="39:39" x14ac:dyDescent="0.35">
      <c r="AM553" t="s">
        <v>3558</v>
      </c>
    </row>
    <row r="554" spans="39:39" x14ac:dyDescent="0.35">
      <c r="AM554" t="s">
        <v>3559</v>
      </c>
    </row>
    <row r="555" spans="39:39" x14ac:dyDescent="0.35">
      <c r="AM555" t="s">
        <v>3560</v>
      </c>
    </row>
    <row r="556" spans="39:39" x14ac:dyDescent="0.35">
      <c r="AM556" t="s">
        <v>3561</v>
      </c>
    </row>
    <row r="557" spans="39:39" x14ac:dyDescent="0.35">
      <c r="AM557" t="s">
        <v>3562</v>
      </c>
    </row>
    <row r="558" spans="39:39" x14ac:dyDescent="0.35">
      <c r="AM558" t="s">
        <v>3563</v>
      </c>
    </row>
    <row r="559" spans="39:39" x14ac:dyDescent="0.35">
      <c r="AM559" t="s">
        <v>3564</v>
      </c>
    </row>
    <row r="560" spans="39:39" x14ac:dyDescent="0.35">
      <c r="AM560" t="s">
        <v>3565</v>
      </c>
    </row>
    <row r="561" spans="39:39" x14ac:dyDescent="0.35">
      <c r="AM561" t="s">
        <v>3566</v>
      </c>
    </row>
    <row r="562" spans="39:39" x14ac:dyDescent="0.35">
      <c r="AM562" t="s">
        <v>3567</v>
      </c>
    </row>
    <row r="563" spans="39:39" x14ac:dyDescent="0.35">
      <c r="AM563" t="s">
        <v>3568</v>
      </c>
    </row>
    <row r="564" spans="39:39" x14ac:dyDescent="0.35">
      <c r="AM564" t="s">
        <v>3569</v>
      </c>
    </row>
    <row r="565" spans="39:39" x14ac:dyDescent="0.35">
      <c r="AM565" t="s">
        <v>3570</v>
      </c>
    </row>
    <row r="566" spans="39:39" x14ac:dyDescent="0.35">
      <c r="AM566" t="s">
        <v>3571</v>
      </c>
    </row>
    <row r="567" spans="39:39" x14ac:dyDescent="0.35">
      <c r="AM567" t="s">
        <v>3572</v>
      </c>
    </row>
    <row r="568" spans="39:39" x14ac:dyDescent="0.35">
      <c r="AM568" t="s">
        <v>3573</v>
      </c>
    </row>
    <row r="569" spans="39:39" x14ac:dyDescent="0.35">
      <c r="AM569" t="s">
        <v>3574</v>
      </c>
    </row>
    <row r="570" spans="39:39" x14ac:dyDescent="0.35">
      <c r="AM570" t="s">
        <v>3575</v>
      </c>
    </row>
    <row r="571" spans="39:39" x14ac:dyDescent="0.35">
      <c r="AM571" t="s">
        <v>3576</v>
      </c>
    </row>
    <row r="572" spans="39:39" x14ac:dyDescent="0.35">
      <c r="AM572" t="s">
        <v>3577</v>
      </c>
    </row>
    <row r="573" spans="39:39" x14ac:dyDescent="0.35">
      <c r="AM573" t="s">
        <v>3578</v>
      </c>
    </row>
    <row r="574" spans="39:39" x14ac:dyDescent="0.35">
      <c r="AM574" t="s">
        <v>3579</v>
      </c>
    </row>
    <row r="575" spans="39:39" x14ac:dyDescent="0.35">
      <c r="AM575" t="s">
        <v>3580</v>
      </c>
    </row>
    <row r="576" spans="39:39" x14ac:dyDescent="0.35">
      <c r="AM576" t="s">
        <v>3581</v>
      </c>
    </row>
    <row r="577" spans="39:39" x14ac:dyDescent="0.35">
      <c r="AM577" t="s">
        <v>3582</v>
      </c>
    </row>
    <row r="578" spans="39:39" x14ac:dyDescent="0.35">
      <c r="AM578" t="s">
        <v>3583</v>
      </c>
    </row>
    <row r="579" spans="39:39" x14ac:dyDescent="0.35">
      <c r="AM579" t="s">
        <v>3584</v>
      </c>
    </row>
    <row r="580" spans="39:39" x14ac:dyDescent="0.35">
      <c r="AM580" t="s">
        <v>3585</v>
      </c>
    </row>
    <row r="581" spans="39:39" x14ac:dyDescent="0.35">
      <c r="AM581" t="s">
        <v>3586</v>
      </c>
    </row>
    <row r="582" spans="39:39" x14ac:dyDescent="0.35">
      <c r="AM582" t="s">
        <v>3587</v>
      </c>
    </row>
    <row r="583" spans="39:39" x14ac:dyDescent="0.35">
      <c r="AM583" t="s">
        <v>3588</v>
      </c>
    </row>
    <row r="584" spans="39:39" x14ac:dyDescent="0.35">
      <c r="AM584" t="s">
        <v>3589</v>
      </c>
    </row>
    <row r="585" spans="39:39" x14ac:dyDescent="0.35">
      <c r="AM585" t="s">
        <v>3590</v>
      </c>
    </row>
    <row r="586" spans="39:39" x14ac:dyDescent="0.35">
      <c r="AM586" t="s">
        <v>3591</v>
      </c>
    </row>
    <row r="587" spans="39:39" x14ac:dyDescent="0.35">
      <c r="AM587" t="s">
        <v>3592</v>
      </c>
    </row>
    <row r="588" spans="39:39" x14ac:dyDescent="0.35">
      <c r="AM588" t="s">
        <v>3593</v>
      </c>
    </row>
    <row r="589" spans="39:39" x14ac:dyDescent="0.35">
      <c r="AM589" t="s">
        <v>3594</v>
      </c>
    </row>
    <row r="590" spans="39:39" x14ac:dyDescent="0.35">
      <c r="AM590" t="s">
        <v>3595</v>
      </c>
    </row>
    <row r="591" spans="39:39" x14ac:dyDescent="0.35">
      <c r="AM591" t="s">
        <v>3596</v>
      </c>
    </row>
    <row r="592" spans="39:39" x14ac:dyDescent="0.35">
      <c r="AM592" t="s">
        <v>3597</v>
      </c>
    </row>
    <row r="593" spans="39:39" x14ac:dyDescent="0.35">
      <c r="AM593" t="s">
        <v>3598</v>
      </c>
    </row>
    <row r="594" spans="39:39" x14ac:dyDescent="0.35">
      <c r="AM594" t="s">
        <v>3599</v>
      </c>
    </row>
    <row r="595" spans="39:39" x14ac:dyDescent="0.35">
      <c r="AM595" t="s">
        <v>3600</v>
      </c>
    </row>
    <row r="596" spans="39:39" x14ac:dyDescent="0.35">
      <c r="AM596" t="s">
        <v>3601</v>
      </c>
    </row>
    <row r="597" spans="39:39" x14ac:dyDescent="0.35">
      <c r="AM597" t="s">
        <v>3602</v>
      </c>
    </row>
    <row r="598" spans="39:39" x14ac:dyDescent="0.35">
      <c r="AM598" t="s">
        <v>3603</v>
      </c>
    </row>
    <row r="599" spans="39:39" x14ac:dyDescent="0.35">
      <c r="AM599" t="s">
        <v>3604</v>
      </c>
    </row>
    <row r="600" spans="39:39" x14ac:dyDescent="0.35">
      <c r="AM600" t="s">
        <v>3605</v>
      </c>
    </row>
    <row r="601" spans="39:39" x14ac:dyDescent="0.35">
      <c r="AM601" t="s">
        <v>3606</v>
      </c>
    </row>
    <row r="602" spans="39:39" x14ac:dyDescent="0.35">
      <c r="AM602" t="s">
        <v>3607</v>
      </c>
    </row>
    <row r="603" spans="39:39" x14ac:dyDescent="0.35">
      <c r="AM603" t="s">
        <v>3608</v>
      </c>
    </row>
    <row r="604" spans="39:39" x14ac:dyDescent="0.35">
      <c r="AM604" t="s">
        <v>3609</v>
      </c>
    </row>
    <row r="605" spans="39:39" x14ac:dyDescent="0.35">
      <c r="AM605" t="s">
        <v>3610</v>
      </c>
    </row>
    <row r="606" spans="39:39" x14ac:dyDescent="0.35">
      <c r="AM606" t="s">
        <v>3611</v>
      </c>
    </row>
    <row r="607" spans="39:39" x14ac:dyDescent="0.35">
      <c r="AM607" t="s">
        <v>3612</v>
      </c>
    </row>
    <row r="608" spans="39:39" x14ac:dyDescent="0.35">
      <c r="AM608" t="s">
        <v>3613</v>
      </c>
    </row>
    <row r="609" spans="39:39" x14ac:dyDescent="0.35">
      <c r="AM609" t="s">
        <v>3614</v>
      </c>
    </row>
    <row r="610" spans="39:39" x14ac:dyDescent="0.35">
      <c r="AM610" t="s">
        <v>3615</v>
      </c>
    </row>
    <row r="611" spans="39:39" x14ac:dyDescent="0.35">
      <c r="AM611" t="s">
        <v>3616</v>
      </c>
    </row>
    <row r="612" spans="39:39" x14ac:dyDescent="0.35">
      <c r="AM612" t="s">
        <v>3617</v>
      </c>
    </row>
    <row r="613" spans="39:39" x14ac:dyDescent="0.35">
      <c r="AM613" t="s">
        <v>3618</v>
      </c>
    </row>
    <row r="614" spans="39:39" x14ac:dyDescent="0.35">
      <c r="AM614" t="s">
        <v>3619</v>
      </c>
    </row>
    <row r="615" spans="39:39" x14ac:dyDescent="0.35">
      <c r="AM615" t="s">
        <v>3620</v>
      </c>
    </row>
    <row r="616" spans="39:39" x14ac:dyDescent="0.35">
      <c r="AM616" t="s">
        <v>3621</v>
      </c>
    </row>
    <row r="617" spans="39:39" x14ac:dyDescent="0.35">
      <c r="AM617" t="s">
        <v>3621</v>
      </c>
    </row>
    <row r="618" spans="39:39" x14ac:dyDescent="0.35">
      <c r="AM618" t="s">
        <v>3622</v>
      </c>
    </row>
    <row r="619" spans="39:39" x14ac:dyDescent="0.35">
      <c r="AM619" t="s">
        <v>3622</v>
      </c>
    </row>
    <row r="620" spans="39:39" x14ac:dyDescent="0.35">
      <c r="AM620" t="s">
        <v>3623</v>
      </c>
    </row>
    <row r="621" spans="39:39" x14ac:dyDescent="0.35">
      <c r="AM621" t="s">
        <v>3624</v>
      </c>
    </row>
    <row r="622" spans="39:39" x14ac:dyDescent="0.35">
      <c r="AM622" t="s">
        <v>3625</v>
      </c>
    </row>
    <row r="623" spans="39:39" x14ac:dyDescent="0.35">
      <c r="AM623" t="s">
        <v>3626</v>
      </c>
    </row>
    <row r="624" spans="39:39" x14ac:dyDescent="0.35">
      <c r="AM624" t="s">
        <v>3627</v>
      </c>
    </row>
    <row r="625" spans="39:39" x14ac:dyDescent="0.35">
      <c r="AM625" t="s">
        <v>3628</v>
      </c>
    </row>
  </sheetData>
  <mergeCells count="1">
    <mergeCell ref="I1:J1"/>
  </mergeCells>
  <pageMargins left="0.7" right="0.7" top="0.75" bottom="0.75" header="0.3" footer="0.3"/>
  <pageSetup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85915C32-5D62-4A04-971E-72C612ADE44A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66</vt:i4>
      </vt:variant>
    </vt:vector>
  </HeadingPairs>
  <TitlesOfParts>
    <vt:vector size="71" baseType="lpstr">
      <vt:lpstr>LTDBB Header</vt:lpstr>
      <vt:lpstr>G0001</vt:lpstr>
      <vt:lpstr>G0002</vt:lpstr>
      <vt:lpstr>G0003</vt:lpstr>
      <vt:lpstr>Sheet3</vt:lpstr>
      <vt:lpstr>a</vt:lpstr>
      <vt:lpstr>AKUN</vt:lpstr>
      <vt:lpstr>AKUNLR</vt:lpstr>
      <vt:lpstr>ASET</vt:lpstr>
      <vt:lpstr>BDN</vt:lpstr>
      <vt:lpstr>BLN</vt:lpstr>
      <vt:lpstr>COUNTRY</vt:lpstr>
      <vt:lpstr>CP</vt:lpstr>
      <vt:lpstr>DER</vt:lpstr>
      <vt:lpstr>EKUITAS</vt:lpstr>
      <vt:lpstr>GP</vt:lpstr>
      <vt:lpstr>HIBAH</vt:lpstr>
      <vt:lpstr>HK</vt:lpstr>
      <vt:lpstr>JENDEV</vt:lpstr>
      <vt:lpstr>jenis_trans</vt:lpstr>
      <vt:lpstr>JENISSB</vt:lpstr>
      <vt:lpstr>JENPENY</vt:lpstr>
      <vt:lpstr>JENPIU</vt:lpstr>
      <vt:lpstr>JENPRO</vt:lpstr>
      <vt:lpstr>JENSEK</vt:lpstr>
      <vt:lpstr>jentag</vt:lpstr>
      <vt:lpstr>jentan</vt:lpstr>
      <vt:lpstr>JFP</vt:lpstr>
      <vt:lpstr>JFT</vt:lpstr>
      <vt:lpstr>JFTA</vt:lpstr>
      <vt:lpstr>JFTE</vt:lpstr>
      <vt:lpstr>JFTP</vt:lpstr>
      <vt:lpstr>JK</vt:lpstr>
      <vt:lpstr>JP</vt:lpstr>
      <vt:lpstr>JPA</vt:lpstr>
      <vt:lpstr>JSB</vt:lpstr>
      <vt:lpstr>JT</vt:lpstr>
      <vt:lpstr>JTPVA</vt:lpstr>
      <vt:lpstr>JW</vt:lpstr>
      <vt:lpstr>Kabupaten</vt:lpstr>
      <vt:lpstr>KOTA</vt:lpstr>
      <vt:lpstr>'G0001'!Kota_Kabupaten_Asal_Pengiriman</vt:lpstr>
      <vt:lpstr>KURS</vt:lpstr>
      <vt:lpstr>PERCENT</vt:lpstr>
      <vt:lpstr>PROPINSI</vt:lpstr>
      <vt:lpstr>SB</vt:lpstr>
      <vt:lpstr>SBJEN</vt:lpstr>
      <vt:lpstr>SBSB</vt:lpstr>
      <vt:lpstr>SI</vt:lpstr>
      <vt:lpstr>SJSB</vt:lpstr>
      <vt:lpstr>SJTAS</vt:lpstr>
      <vt:lpstr>SJTASET</vt:lpstr>
      <vt:lpstr>SJTDER</vt:lpstr>
      <vt:lpstr>SJTE</vt:lpstr>
      <vt:lpstr>SJTEQ</vt:lpstr>
      <vt:lpstr>SJTL</vt:lpstr>
      <vt:lpstr>SJTOCA</vt:lpstr>
      <vt:lpstr>SJTP</vt:lpstr>
      <vt:lpstr>SJTPRE</vt:lpstr>
      <vt:lpstr>SJTSB</vt:lpstr>
      <vt:lpstr>SJTSEK</vt:lpstr>
      <vt:lpstr>SJTTB</vt:lpstr>
      <vt:lpstr>SK</vt:lpstr>
      <vt:lpstr>TGL</vt:lpstr>
      <vt:lpstr>THN</vt:lpstr>
      <vt:lpstr>THNLK</vt:lpstr>
      <vt:lpstr>TRANS</vt:lpstr>
      <vt:lpstr>TujuanTransaksi</vt:lpstr>
      <vt:lpstr>USAHA</vt:lpstr>
      <vt:lpstr>VP</vt:lpstr>
      <vt:lpstr>WEEK</vt:lpstr>
    </vt:vector>
  </TitlesOfParts>
  <Company>PT. Anabatic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ATI-RES</dc:creator>
  <cp:lastModifiedBy>Safira Chairunisya Octavia</cp:lastModifiedBy>
  <dcterms:created xsi:type="dcterms:W3CDTF">2011-03-28T04:33:00Z</dcterms:created>
  <dcterms:modified xsi:type="dcterms:W3CDTF">2021-02-02T03:53:40Z</dcterms:modified>
</cp:coreProperties>
</file>